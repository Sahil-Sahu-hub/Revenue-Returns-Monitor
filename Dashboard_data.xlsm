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drawings/drawing2.xml" ContentType="application/vnd.openxmlformats-officedocument.drawing+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E:\my_project\excel sales dashboard\"/>
    </mc:Choice>
  </mc:AlternateContent>
  <xr:revisionPtr revIDLastSave="0" documentId="13_ncr:1_{2F9194C5-4834-422D-B61D-7A4D1358F9CA}" xr6:coauthVersionLast="47" xr6:coauthVersionMax="47" xr10:uidLastSave="{00000000-0000-0000-0000-000000000000}"/>
  <bookViews>
    <workbookView xWindow="-108" yWindow="-108" windowWidth="23256" windowHeight="13176" activeTab="1" xr2:uid="{08E1C1C3-0FEA-43AD-84A9-6EC05EB3F75A}"/>
  </bookViews>
  <sheets>
    <sheet name="Dashboard" sheetId="10" r:id="rId1"/>
    <sheet name="Sales Form" sheetId="6" r:id="rId2"/>
    <sheet name="Analysis" sheetId="5" r:id="rId3"/>
    <sheet name="KPI" sheetId="9" r:id="rId4"/>
    <sheet name="Retail Store Sales" sheetId="4" r:id="rId5"/>
    <sheet name="Cost Per Unit" sheetId="3" state="hidden" r:id="rId6"/>
  </sheets>
  <definedNames>
    <definedName name="count">KPI!$F$5</definedName>
    <definedName name="percent">KPI!$G$39</definedName>
    <definedName name="profit">KPI!$C$6</definedName>
    <definedName name="sale">KPI!$B$6</definedName>
    <definedName name="Slicer_Country">#N/A</definedName>
    <definedName name="Slicer_Month">#N/A</definedName>
    <definedName name="Slicer_Product_Category">#N/A</definedName>
    <definedName name="Slicer_Year">#N/A</definedName>
  </definedNames>
  <calcPr calcId="191029"/>
  <pivotCaches>
    <pivotCache cacheId="1"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50" i="4" l="1"/>
  <c r="L250" i="4"/>
  <c r="M250" i="4"/>
  <c r="N250" i="4"/>
  <c r="O250" i="4"/>
  <c r="Q250" i="4" s="1"/>
  <c r="P250" i="4"/>
  <c r="K401" i="4"/>
  <c r="L401" i="4"/>
  <c r="M401" i="4"/>
  <c r="N401" i="4"/>
  <c r="O401" i="4"/>
  <c r="Q401" i="4" s="1"/>
  <c r="P401" i="4"/>
  <c r="K497" i="4"/>
  <c r="L497" i="4"/>
  <c r="M497" i="4"/>
  <c r="N497" i="4"/>
  <c r="O497" i="4"/>
  <c r="Q497" i="4" s="1"/>
  <c r="P497" i="4"/>
  <c r="K414" i="4"/>
  <c r="L414" i="4"/>
  <c r="M414" i="4"/>
  <c r="N414" i="4"/>
  <c r="O414" i="4"/>
  <c r="Q414" i="4" s="1"/>
  <c r="P414" i="4"/>
  <c r="K340" i="4"/>
  <c r="L340" i="4"/>
  <c r="M340" i="4"/>
  <c r="N340" i="4"/>
  <c r="O340" i="4"/>
  <c r="Q340" i="4" s="1"/>
  <c r="P340" i="4"/>
  <c r="K560" i="4"/>
  <c r="L560" i="4"/>
  <c r="M560" i="4"/>
  <c r="N560" i="4"/>
  <c r="O560" i="4"/>
  <c r="Q560" i="4" s="1"/>
  <c r="P560" i="4"/>
  <c r="N537" i="4"/>
  <c r="K537" i="4"/>
  <c r="L537" i="4"/>
  <c r="M537" i="4"/>
  <c r="O537" i="4"/>
  <c r="Q537" i="4" s="1"/>
  <c r="P537" i="4"/>
  <c r="BB9" i="9"/>
  <c r="BA9" i="9"/>
  <c r="AZ9" i="9"/>
  <c r="AY9" i="9"/>
  <c r="AX9" i="9"/>
  <c r="AW9" i="9"/>
  <c r="AV9" i="9"/>
  <c r="AU9" i="9"/>
  <c r="AT9" i="9"/>
  <c r="AS9" i="9"/>
  <c r="B39" i="9"/>
  <c r="D38" i="9" s="1"/>
  <c r="B38" i="9"/>
  <c r="E38" i="9" s="1"/>
  <c r="G38" i="9" s="1"/>
  <c r="K64" i="4"/>
  <c r="L64" i="4"/>
  <c r="M64" i="4"/>
  <c r="N64" i="4"/>
  <c r="O64" i="4"/>
  <c r="Q64" i="4" s="1"/>
  <c r="P64" i="4"/>
  <c r="K8" i="4"/>
  <c r="L8" i="4"/>
  <c r="M8" i="4"/>
  <c r="N8" i="4"/>
  <c r="O8" i="4"/>
  <c r="Q8" i="4" s="1"/>
  <c r="P8" i="4"/>
  <c r="K437" i="4"/>
  <c r="L437" i="4"/>
  <c r="M437" i="4"/>
  <c r="N437" i="4"/>
  <c r="O437" i="4"/>
  <c r="Q437" i="4" s="1"/>
  <c r="P437" i="4"/>
  <c r="K472" i="4"/>
  <c r="L472" i="4"/>
  <c r="M472" i="4"/>
  <c r="N472" i="4"/>
  <c r="O472" i="4"/>
  <c r="Q472" i="4" s="1"/>
  <c r="P472" i="4"/>
  <c r="K280" i="4"/>
  <c r="L280" i="4"/>
  <c r="M280" i="4"/>
  <c r="N280" i="4"/>
  <c r="O280" i="4"/>
  <c r="Q280" i="4" s="1"/>
  <c r="P280" i="4"/>
  <c r="K499" i="4"/>
  <c r="L499" i="4"/>
  <c r="M499" i="4"/>
  <c r="N499" i="4"/>
  <c r="O499" i="4"/>
  <c r="Q499" i="4" s="1"/>
  <c r="P499" i="4"/>
  <c r="K425" i="4"/>
  <c r="L425" i="4"/>
  <c r="M425" i="4"/>
  <c r="N425" i="4"/>
  <c r="O425" i="4"/>
  <c r="Q425" i="4" s="1"/>
  <c r="P425" i="4"/>
  <c r="K236" i="4"/>
  <c r="L236" i="4"/>
  <c r="M236" i="4"/>
  <c r="N236" i="4"/>
  <c r="O236" i="4"/>
  <c r="Q236" i="4" s="1"/>
  <c r="P236" i="4"/>
  <c r="P324" i="4"/>
  <c r="P78" i="4"/>
  <c r="P164" i="4"/>
  <c r="P371" i="4"/>
  <c r="P35" i="4"/>
  <c r="P408" i="4"/>
  <c r="P47" i="4"/>
  <c r="P498" i="4"/>
  <c r="P411" i="4"/>
  <c r="P528" i="4"/>
  <c r="P262" i="4"/>
  <c r="P60" i="4"/>
  <c r="P132" i="4"/>
  <c r="P358" i="4"/>
  <c r="P344" i="4"/>
  <c r="P105" i="4"/>
  <c r="P525" i="4"/>
  <c r="P432" i="4"/>
  <c r="P328" i="4"/>
  <c r="P263" i="4"/>
  <c r="P25" i="4"/>
  <c r="P377" i="4"/>
  <c r="P37" i="4"/>
  <c r="P270" i="4"/>
  <c r="P156" i="4"/>
  <c r="P307" i="4"/>
  <c r="P460" i="4"/>
  <c r="P361" i="4"/>
  <c r="P562" i="4"/>
  <c r="P513" i="4"/>
  <c r="P65" i="4"/>
  <c r="P510" i="4"/>
  <c r="P227" i="4"/>
  <c r="P116" i="4"/>
  <c r="P384" i="4"/>
  <c r="P372" i="4"/>
  <c r="P396" i="4"/>
  <c r="P486" i="4"/>
  <c r="P191" i="4"/>
  <c r="P268" i="4"/>
  <c r="P2" i="4"/>
  <c r="P508" i="4"/>
  <c r="P445" i="4"/>
  <c r="P352" i="4"/>
  <c r="P30" i="4"/>
  <c r="P229" i="4"/>
  <c r="P482" i="4"/>
  <c r="P128" i="4"/>
  <c r="P389" i="4"/>
  <c r="P169" i="4"/>
  <c r="P318" i="4"/>
  <c r="P135" i="4"/>
  <c r="P304" i="4"/>
  <c r="P273" i="4"/>
  <c r="P161" i="4"/>
  <c r="P479" i="4"/>
  <c r="P290" i="4"/>
  <c r="P16" i="4"/>
  <c r="P532" i="4"/>
  <c r="P85" i="4"/>
  <c r="P309" i="4"/>
  <c r="P454" i="4"/>
  <c r="P27" i="4"/>
  <c r="P15" i="4"/>
  <c r="P493" i="4"/>
  <c r="P120" i="4"/>
  <c r="P392" i="4"/>
  <c r="P248" i="4"/>
  <c r="P83" i="4"/>
  <c r="P43" i="4"/>
  <c r="P462" i="4"/>
  <c r="P137" i="4"/>
  <c r="P168" i="4"/>
  <c r="P536" i="4"/>
  <c r="P387" i="4"/>
  <c r="P320" i="4"/>
  <c r="P447" i="4"/>
  <c r="P245" i="4"/>
  <c r="P151" i="4"/>
  <c r="P173" i="4"/>
  <c r="P44" i="4"/>
  <c r="P254" i="4"/>
  <c r="P430" i="4"/>
  <c r="P103" i="4"/>
  <c r="P32" i="4"/>
  <c r="P284" i="4"/>
  <c r="P388" i="4"/>
  <c r="P179" i="4"/>
  <c r="P539" i="4"/>
  <c r="P11" i="4"/>
  <c r="P296" i="4"/>
  <c r="P300" i="4"/>
  <c r="P449" i="4"/>
  <c r="P249" i="4"/>
  <c r="P285" i="4"/>
  <c r="P190" i="4"/>
  <c r="P207" i="4"/>
  <c r="P565" i="4"/>
  <c r="P551" i="4"/>
  <c r="P431" i="4"/>
  <c r="P253" i="4"/>
  <c r="P204" i="4"/>
  <c r="P512" i="4"/>
  <c r="P477" i="4"/>
  <c r="P568" i="4"/>
  <c r="P327" i="4"/>
  <c r="P288" i="4"/>
  <c r="P67" i="4"/>
  <c r="P69" i="4"/>
  <c r="P548" i="4"/>
  <c r="P350" i="4"/>
  <c r="P552" i="4"/>
  <c r="P515" i="4"/>
  <c r="P237" i="4"/>
  <c r="P214" i="4"/>
  <c r="P501" i="4"/>
  <c r="P323" i="4"/>
  <c r="P402" i="4"/>
  <c r="P79" i="4"/>
  <c r="P77" i="4"/>
  <c r="P293" i="4"/>
  <c r="P559" i="4"/>
  <c r="P393" i="4"/>
  <c r="P57" i="4"/>
  <c r="P193" i="4"/>
  <c r="P111" i="4"/>
  <c r="P546" i="4"/>
  <c r="P547" i="4"/>
  <c r="P49" i="4"/>
  <c r="P364" i="4"/>
  <c r="P13" i="4"/>
  <c r="P409" i="4"/>
  <c r="P506" i="4"/>
  <c r="P277" i="4"/>
  <c r="P519" i="4"/>
  <c r="P4" i="4"/>
  <c r="P222" i="4"/>
  <c r="P386" i="4"/>
  <c r="P276" i="4"/>
  <c r="P150" i="4"/>
  <c r="P247" i="4"/>
  <c r="P154" i="4"/>
  <c r="P221" i="4"/>
  <c r="P383" i="4"/>
  <c r="P321" i="4"/>
  <c r="P255" i="4"/>
  <c r="P108" i="4"/>
  <c r="P463" i="4"/>
  <c r="P295" i="4"/>
  <c r="P50" i="4"/>
  <c r="P215" i="4"/>
  <c r="P524" i="4"/>
  <c r="P232" i="4"/>
  <c r="P303" i="4"/>
  <c r="P145" i="4"/>
  <c r="P395" i="4"/>
  <c r="P495" i="4"/>
  <c r="P184" i="4"/>
  <c r="P439" i="4"/>
  <c r="P475" i="4"/>
  <c r="P226" i="4"/>
  <c r="P341" i="4"/>
  <c r="P181" i="4"/>
  <c r="P455" i="4"/>
  <c r="P174" i="4"/>
  <c r="P246" i="4"/>
  <c r="P58" i="4"/>
  <c r="P54" i="4"/>
  <c r="P97" i="4"/>
  <c r="P73" i="4"/>
  <c r="P347" i="4"/>
  <c r="P419" i="4"/>
  <c r="P442" i="4"/>
  <c r="P5" i="4"/>
  <c r="P520" i="4"/>
  <c r="P231" i="4"/>
  <c r="P176" i="4"/>
  <c r="P356" i="4"/>
  <c r="P478" i="4"/>
  <c r="P239" i="4"/>
  <c r="P553" i="4"/>
  <c r="P417" i="4"/>
  <c r="P208" i="4"/>
  <c r="P48" i="4"/>
  <c r="P292" i="4"/>
  <c r="P122" i="4"/>
  <c r="P374" i="4"/>
  <c r="P46" i="4"/>
  <c r="P51" i="4"/>
  <c r="P299" i="4"/>
  <c r="P130" i="4"/>
  <c r="P118" i="4"/>
  <c r="P289" i="4"/>
  <c r="P301" i="4"/>
  <c r="P322" i="4"/>
  <c r="P266" i="4"/>
  <c r="P492" i="4"/>
  <c r="P416" i="4"/>
  <c r="P569" i="4"/>
  <c r="P398" i="4"/>
  <c r="P187" i="4"/>
  <c r="P339" i="4"/>
  <c r="P234" i="4"/>
  <c r="P485" i="4"/>
  <c r="P518" i="4"/>
  <c r="P144" i="4"/>
  <c r="P121" i="4"/>
  <c r="P68" i="4"/>
  <c r="P541" i="4"/>
  <c r="P279" i="4"/>
  <c r="P517" i="4"/>
  <c r="P88" i="4"/>
  <c r="P110" i="4"/>
  <c r="P343" i="4"/>
  <c r="P426" i="4"/>
  <c r="P93" i="4"/>
  <c r="P212" i="4"/>
  <c r="P80" i="4"/>
  <c r="P491" i="4"/>
  <c r="P113" i="4"/>
  <c r="P165" i="4"/>
  <c r="P516" i="4"/>
  <c r="P423" i="4"/>
  <c r="P258" i="4"/>
  <c r="P500" i="4"/>
  <c r="P272" i="4"/>
  <c r="P12" i="4"/>
  <c r="P349" i="4"/>
  <c r="P355" i="4"/>
  <c r="P63" i="4"/>
  <c r="P382" i="4"/>
  <c r="P494" i="4"/>
  <c r="P98" i="4"/>
  <c r="P467" i="4"/>
  <c r="P282" i="4"/>
  <c r="P225" i="4"/>
  <c r="P557" i="4"/>
  <c r="P182" i="4"/>
  <c r="P18" i="4"/>
  <c r="P81" i="4"/>
  <c r="P217" i="4"/>
  <c r="P407" i="4"/>
  <c r="P45" i="4"/>
  <c r="P458" i="4"/>
  <c r="P155" i="4"/>
  <c r="P379" i="4"/>
  <c r="P337" i="4"/>
  <c r="P72" i="4"/>
  <c r="P471" i="4"/>
  <c r="P10" i="4"/>
  <c r="P125" i="4"/>
  <c r="P39" i="4"/>
  <c r="P205" i="4"/>
  <c r="P360" i="4"/>
  <c r="P40" i="4"/>
  <c r="P490" i="4"/>
  <c r="P504" i="4"/>
  <c r="P143" i="4"/>
  <c r="P76" i="4"/>
  <c r="P189" i="4"/>
  <c r="P19" i="4"/>
  <c r="P443" i="4"/>
  <c r="P256" i="4"/>
  <c r="P466" i="4"/>
  <c r="P313" i="4"/>
  <c r="P566" i="4"/>
  <c r="P180" i="4"/>
  <c r="P241" i="4"/>
  <c r="P334" i="4"/>
  <c r="P424" i="4"/>
  <c r="P198" i="4"/>
  <c r="P142" i="4"/>
  <c r="P275" i="4"/>
  <c r="P233" i="4"/>
  <c r="P199" i="4"/>
  <c r="P406" i="4"/>
  <c r="P287" i="4"/>
  <c r="P14" i="4"/>
  <c r="P251" i="4"/>
  <c r="P7" i="4"/>
  <c r="P219" i="4"/>
  <c r="P194" i="4"/>
  <c r="P354" i="4"/>
  <c r="P91" i="4"/>
  <c r="P314" i="4"/>
  <c r="P488" i="4"/>
  <c r="P438" i="4"/>
  <c r="P107" i="4"/>
  <c r="P220" i="4"/>
  <c r="P542" i="4"/>
  <c r="P484" i="4"/>
  <c r="P141" i="4"/>
  <c r="P202" i="4"/>
  <c r="P195" i="4"/>
  <c r="P123" i="4"/>
  <c r="P159" i="4"/>
  <c r="P70" i="4"/>
  <c r="P28" i="4"/>
  <c r="P365" i="4"/>
  <c r="P134" i="4"/>
  <c r="P34" i="4"/>
  <c r="P469" i="4"/>
  <c r="P209" i="4"/>
  <c r="P240" i="4"/>
  <c r="P89" i="4"/>
  <c r="P564" i="4"/>
  <c r="P357" i="4"/>
  <c r="P131" i="4"/>
  <c r="P554" i="4"/>
  <c r="P534" i="4"/>
  <c r="P92" i="4"/>
  <c r="P101" i="4"/>
  <c r="P20" i="4"/>
  <c r="P369" i="4"/>
  <c r="P223" i="4"/>
  <c r="P444" i="4"/>
  <c r="P127" i="4"/>
  <c r="P420" i="4"/>
  <c r="P410" i="4"/>
  <c r="P399" i="4"/>
  <c r="P206" i="4"/>
  <c r="P464" i="4"/>
  <c r="P99" i="4"/>
  <c r="P257" i="4"/>
  <c r="P405" i="4"/>
  <c r="P496" i="4"/>
  <c r="P450" i="4"/>
  <c r="P523" i="4"/>
  <c r="P188" i="4"/>
  <c r="P139" i="4"/>
  <c r="P259" i="4"/>
  <c r="P175" i="4"/>
  <c r="P316" i="4"/>
  <c r="P146" i="4"/>
  <c r="P260" i="4"/>
  <c r="P100" i="4"/>
  <c r="P380" i="4"/>
  <c r="P530" i="4"/>
  <c r="P415" i="4"/>
  <c r="P521" i="4"/>
  <c r="P451" i="4"/>
  <c r="P238" i="4"/>
  <c r="P476" i="4"/>
  <c r="P90" i="4"/>
  <c r="P457" i="4"/>
  <c r="P325" i="4"/>
  <c r="P367" i="4"/>
  <c r="P421" i="4"/>
  <c r="P115" i="4"/>
  <c r="P114" i="4"/>
  <c r="P505" i="4"/>
  <c r="P160" i="4"/>
  <c r="P294" i="4"/>
  <c r="P434" i="4"/>
  <c r="P186" i="4"/>
  <c r="P366" i="4"/>
  <c r="P278" i="4"/>
  <c r="P473" i="4"/>
  <c r="P218" i="4"/>
  <c r="P342" i="4"/>
  <c r="P200" i="4"/>
  <c r="P197" i="4"/>
  <c r="P95" i="4"/>
  <c r="P172" i="4"/>
  <c r="P400" i="4"/>
  <c r="P243" i="4"/>
  <c r="P394" i="4"/>
  <c r="P567" i="4"/>
  <c r="P29" i="4"/>
  <c r="P185" i="4"/>
  <c r="P178" i="4"/>
  <c r="P177" i="4"/>
  <c r="P163" i="4"/>
  <c r="P36" i="4"/>
  <c r="P453" i="4"/>
  <c r="P351" i="4"/>
  <c r="P84" i="4"/>
  <c r="P94" i="4"/>
  <c r="P109" i="4"/>
  <c r="P96" i="4"/>
  <c r="P544" i="4"/>
  <c r="P376" i="4"/>
  <c r="P148" i="4"/>
  <c r="P489" i="4"/>
  <c r="P62" i="4"/>
  <c r="P317" i="4"/>
  <c r="P297" i="4"/>
  <c r="P9" i="4"/>
  <c r="P522" i="4"/>
  <c r="P555" i="4"/>
  <c r="P24" i="4"/>
  <c r="P531" i="4"/>
  <c r="P556" i="4"/>
  <c r="P459" i="4"/>
  <c r="P429" i="4"/>
  <c r="P436" i="4"/>
  <c r="P158" i="4"/>
  <c r="P502" i="4"/>
  <c r="P124" i="4"/>
  <c r="P540" i="4"/>
  <c r="P102" i="4"/>
  <c r="P242" i="4"/>
  <c r="P381" i="4"/>
  <c r="P235" i="4"/>
  <c r="P346" i="4"/>
  <c r="P283" i="4"/>
  <c r="P571" i="4"/>
  <c r="P543" i="4"/>
  <c r="P481" i="4"/>
  <c r="P435" i="4"/>
  <c r="P74" i="4"/>
  <c r="P166" i="4"/>
  <c r="P338" i="4"/>
  <c r="P422" i="4"/>
  <c r="P71" i="4"/>
  <c r="P59" i="4"/>
  <c r="P213" i="4"/>
  <c r="P302" i="4"/>
  <c r="P331" i="4"/>
  <c r="P418" i="4"/>
  <c r="P368" i="4"/>
  <c r="P470" i="4"/>
  <c r="P52" i="4"/>
  <c r="P147" i="4"/>
  <c r="P87" i="4"/>
  <c r="P41" i="4"/>
  <c r="P126" i="4"/>
  <c r="P561" i="4"/>
  <c r="P404" i="4"/>
  <c r="P306" i="4"/>
  <c r="P201" i="4"/>
  <c r="P281" i="4"/>
  <c r="P330" i="4"/>
  <c r="P335" i="4"/>
  <c r="P336" i="4"/>
  <c r="P550" i="4"/>
  <c r="P474" i="4"/>
  <c r="P42" i="4"/>
  <c r="P196" i="4"/>
  <c r="P149" i="4"/>
  <c r="P119" i="4"/>
  <c r="P224" i="4"/>
  <c r="P570" i="4"/>
  <c r="P104" i="4"/>
  <c r="P286" i="4"/>
  <c r="P171" i="4"/>
  <c r="P56" i="4"/>
  <c r="P370" i="4"/>
  <c r="P375" i="4"/>
  <c r="P138" i="4"/>
  <c r="P203" i="4"/>
  <c r="P427" i="4"/>
  <c r="P332" i="4"/>
  <c r="P428" i="4"/>
  <c r="P244" i="4"/>
  <c r="P527" i="4"/>
  <c r="P507" i="4"/>
  <c r="P55" i="4"/>
  <c r="P312" i="4"/>
  <c r="P545" i="4"/>
  <c r="P183" i="4"/>
  <c r="P211" i="4"/>
  <c r="P22" i="4"/>
  <c r="P167" i="4"/>
  <c r="P267" i="4"/>
  <c r="P549" i="4"/>
  <c r="P298" i="4"/>
  <c r="P391" i="4"/>
  <c r="P363" i="4"/>
  <c r="P452" i="4"/>
  <c r="P23" i="4"/>
  <c r="P112" i="4"/>
  <c r="P333" i="4"/>
  <c r="P503" i="4"/>
  <c r="P210" i="4"/>
  <c r="P82" i="4"/>
  <c r="P456" i="4"/>
  <c r="P6" i="4"/>
  <c r="P33" i="4"/>
  <c r="P326" i="4"/>
  <c r="P413" i="4"/>
  <c r="P465" i="4"/>
  <c r="P558" i="4"/>
  <c r="P412" i="4"/>
  <c r="P529" i="4"/>
  <c r="P264" i="4"/>
  <c r="P61" i="4"/>
  <c r="P133" i="4"/>
  <c r="P359" i="4"/>
  <c r="P345" i="4"/>
  <c r="P106" i="4"/>
  <c r="P526" i="4"/>
  <c r="P433" i="4"/>
  <c r="P329" i="4"/>
  <c r="P265" i="4"/>
  <c r="P26" i="4"/>
  <c r="P378" i="4"/>
  <c r="P38" i="4"/>
  <c r="P271" i="4"/>
  <c r="P157" i="4"/>
  <c r="P308" i="4"/>
  <c r="P461" i="4"/>
  <c r="P362" i="4"/>
  <c r="P563" i="4"/>
  <c r="P514" i="4"/>
  <c r="P66" i="4"/>
  <c r="P511" i="4"/>
  <c r="P228" i="4"/>
  <c r="P117" i="4"/>
  <c r="P385" i="4"/>
  <c r="P373" i="4"/>
  <c r="P397" i="4"/>
  <c r="P487" i="4"/>
  <c r="P192" i="4"/>
  <c r="P269" i="4"/>
  <c r="P3" i="4"/>
  <c r="P509" i="4"/>
  <c r="P446" i="4"/>
  <c r="P353" i="4"/>
  <c r="P31" i="4"/>
  <c r="P230" i="4"/>
  <c r="P483" i="4"/>
  <c r="P129" i="4"/>
  <c r="P390" i="4"/>
  <c r="P170" i="4"/>
  <c r="P319" i="4"/>
  <c r="P136" i="4"/>
  <c r="P305" i="4"/>
  <c r="P274" i="4"/>
  <c r="P162" i="4"/>
  <c r="P480" i="4"/>
  <c r="P291" i="4"/>
  <c r="P17" i="4"/>
  <c r="P533" i="4"/>
  <c r="P86" i="4"/>
  <c r="P310" i="4"/>
  <c r="P468" i="4"/>
  <c r="P216" i="4"/>
  <c r="P535" i="4"/>
  <c r="P440" i="4"/>
  <c r="P75" i="4"/>
  <c r="P348" i="4"/>
  <c r="P261" i="4"/>
  <c r="P441" i="4"/>
  <c r="P153" i="4"/>
  <c r="P252" i="4"/>
  <c r="P53" i="4"/>
  <c r="P311" i="4"/>
  <c r="P140" i="4"/>
  <c r="P403" i="4"/>
  <c r="P538" i="4"/>
  <c r="P315" i="4"/>
  <c r="P448" i="4"/>
  <c r="P152" i="4"/>
  <c r="P21" i="4"/>
  <c r="O324" i="4"/>
  <c r="Q324" i="4" s="1"/>
  <c r="O78" i="4"/>
  <c r="Q78" i="4" s="1"/>
  <c r="O164" i="4"/>
  <c r="Q164" i="4" s="1"/>
  <c r="O371" i="4"/>
  <c r="Q371" i="4" s="1"/>
  <c r="O35" i="4"/>
  <c r="Q35" i="4" s="1"/>
  <c r="O408" i="4"/>
  <c r="Q408" i="4" s="1"/>
  <c r="O47" i="4"/>
  <c r="Q47" i="4" s="1"/>
  <c r="O498" i="4"/>
  <c r="Q498" i="4" s="1"/>
  <c r="O411" i="4"/>
  <c r="Q411" i="4" s="1"/>
  <c r="O528" i="4"/>
  <c r="Q528" i="4" s="1"/>
  <c r="O262" i="4"/>
  <c r="Q262" i="4" s="1"/>
  <c r="O60" i="4"/>
  <c r="Q60" i="4" s="1"/>
  <c r="O132" i="4"/>
  <c r="Q132" i="4" s="1"/>
  <c r="O358" i="4"/>
  <c r="Q358" i="4" s="1"/>
  <c r="O344" i="4"/>
  <c r="Q344" i="4" s="1"/>
  <c r="O105" i="4"/>
  <c r="Q105" i="4" s="1"/>
  <c r="O525" i="4"/>
  <c r="Q525" i="4" s="1"/>
  <c r="O432" i="4"/>
  <c r="Q432" i="4" s="1"/>
  <c r="O328" i="4"/>
  <c r="Q328" i="4" s="1"/>
  <c r="O263" i="4"/>
  <c r="Q263" i="4" s="1"/>
  <c r="O25" i="4"/>
  <c r="Q25" i="4" s="1"/>
  <c r="O377" i="4"/>
  <c r="Q377" i="4" s="1"/>
  <c r="O37" i="4"/>
  <c r="Q37" i="4" s="1"/>
  <c r="O270" i="4"/>
  <c r="Q270" i="4" s="1"/>
  <c r="O156" i="4"/>
  <c r="Q156" i="4" s="1"/>
  <c r="O307" i="4"/>
  <c r="Q307" i="4" s="1"/>
  <c r="O460" i="4"/>
  <c r="Q460" i="4" s="1"/>
  <c r="O361" i="4"/>
  <c r="Q361" i="4" s="1"/>
  <c r="O562" i="4"/>
  <c r="Q562" i="4" s="1"/>
  <c r="O513" i="4"/>
  <c r="Q513" i="4" s="1"/>
  <c r="O65" i="4"/>
  <c r="Q65" i="4" s="1"/>
  <c r="O510" i="4"/>
  <c r="Q510" i="4" s="1"/>
  <c r="O227" i="4"/>
  <c r="Q227" i="4" s="1"/>
  <c r="O116" i="4"/>
  <c r="Q116" i="4" s="1"/>
  <c r="O384" i="4"/>
  <c r="Q384" i="4" s="1"/>
  <c r="O372" i="4"/>
  <c r="Q372" i="4" s="1"/>
  <c r="O396" i="4"/>
  <c r="Q396" i="4" s="1"/>
  <c r="O486" i="4"/>
  <c r="Q486" i="4" s="1"/>
  <c r="O191" i="4"/>
  <c r="Q191" i="4" s="1"/>
  <c r="O268" i="4"/>
  <c r="Q268" i="4" s="1"/>
  <c r="O2" i="4"/>
  <c r="Q2" i="4" s="1"/>
  <c r="O508" i="4"/>
  <c r="Q508" i="4" s="1"/>
  <c r="O445" i="4"/>
  <c r="Q445" i="4" s="1"/>
  <c r="O352" i="4"/>
  <c r="Q352" i="4" s="1"/>
  <c r="O30" i="4"/>
  <c r="Q30" i="4" s="1"/>
  <c r="O229" i="4"/>
  <c r="Q229" i="4" s="1"/>
  <c r="O482" i="4"/>
  <c r="Q482" i="4" s="1"/>
  <c r="O128" i="4"/>
  <c r="Q128" i="4" s="1"/>
  <c r="O389" i="4"/>
  <c r="Q389" i="4" s="1"/>
  <c r="O169" i="4"/>
  <c r="Q169" i="4" s="1"/>
  <c r="O318" i="4"/>
  <c r="Q318" i="4" s="1"/>
  <c r="O135" i="4"/>
  <c r="Q135" i="4" s="1"/>
  <c r="O304" i="4"/>
  <c r="Q304" i="4" s="1"/>
  <c r="O273" i="4"/>
  <c r="Q273" i="4" s="1"/>
  <c r="O161" i="4"/>
  <c r="Q161" i="4" s="1"/>
  <c r="O479" i="4"/>
  <c r="Q479" i="4" s="1"/>
  <c r="O290" i="4"/>
  <c r="Q290" i="4" s="1"/>
  <c r="O16" i="4"/>
  <c r="Q16" i="4" s="1"/>
  <c r="O532" i="4"/>
  <c r="Q532" i="4" s="1"/>
  <c r="O85" i="4"/>
  <c r="Q85" i="4" s="1"/>
  <c r="O309" i="4"/>
  <c r="Q309" i="4" s="1"/>
  <c r="O454" i="4"/>
  <c r="Q454" i="4" s="1"/>
  <c r="O27" i="4"/>
  <c r="Q27" i="4" s="1"/>
  <c r="O15" i="4"/>
  <c r="Q15" i="4" s="1"/>
  <c r="O493" i="4"/>
  <c r="Q493" i="4" s="1"/>
  <c r="O120" i="4"/>
  <c r="Q120" i="4" s="1"/>
  <c r="O392" i="4"/>
  <c r="Q392" i="4" s="1"/>
  <c r="O248" i="4"/>
  <c r="Q248" i="4" s="1"/>
  <c r="O83" i="4"/>
  <c r="Q83" i="4" s="1"/>
  <c r="O43" i="4"/>
  <c r="Q43" i="4" s="1"/>
  <c r="O462" i="4"/>
  <c r="Q462" i="4" s="1"/>
  <c r="O137" i="4"/>
  <c r="Q137" i="4" s="1"/>
  <c r="O168" i="4"/>
  <c r="Q168" i="4" s="1"/>
  <c r="O536" i="4"/>
  <c r="Q536" i="4" s="1"/>
  <c r="O387" i="4"/>
  <c r="Q387" i="4" s="1"/>
  <c r="O320" i="4"/>
  <c r="Q320" i="4" s="1"/>
  <c r="O447" i="4"/>
  <c r="Q447" i="4" s="1"/>
  <c r="O245" i="4"/>
  <c r="Q245" i="4" s="1"/>
  <c r="O151" i="4"/>
  <c r="Q151" i="4" s="1"/>
  <c r="O173" i="4"/>
  <c r="Q173" i="4" s="1"/>
  <c r="O44" i="4"/>
  <c r="Q44" i="4" s="1"/>
  <c r="O254" i="4"/>
  <c r="Q254" i="4" s="1"/>
  <c r="O430" i="4"/>
  <c r="Q430" i="4" s="1"/>
  <c r="O103" i="4"/>
  <c r="Q103" i="4" s="1"/>
  <c r="O32" i="4"/>
  <c r="Q32" i="4" s="1"/>
  <c r="O284" i="4"/>
  <c r="Q284" i="4" s="1"/>
  <c r="O388" i="4"/>
  <c r="Q388" i="4" s="1"/>
  <c r="O179" i="4"/>
  <c r="Q179" i="4" s="1"/>
  <c r="O539" i="4"/>
  <c r="Q539" i="4" s="1"/>
  <c r="O11" i="4"/>
  <c r="Q11" i="4" s="1"/>
  <c r="O296" i="4"/>
  <c r="Q296" i="4" s="1"/>
  <c r="O300" i="4"/>
  <c r="Q300" i="4" s="1"/>
  <c r="O449" i="4"/>
  <c r="Q449" i="4" s="1"/>
  <c r="O249" i="4"/>
  <c r="Q249" i="4" s="1"/>
  <c r="O285" i="4"/>
  <c r="Q285" i="4" s="1"/>
  <c r="O190" i="4"/>
  <c r="Q190" i="4" s="1"/>
  <c r="O207" i="4"/>
  <c r="Q207" i="4" s="1"/>
  <c r="O565" i="4"/>
  <c r="Q565" i="4" s="1"/>
  <c r="O551" i="4"/>
  <c r="Q551" i="4" s="1"/>
  <c r="O431" i="4"/>
  <c r="Q431" i="4" s="1"/>
  <c r="O253" i="4"/>
  <c r="Q253" i="4" s="1"/>
  <c r="O204" i="4"/>
  <c r="Q204" i="4" s="1"/>
  <c r="O512" i="4"/>
  <c r="Q512" i="4" s="1"/>
  <c r="O477" i="4"/>
  <c r="Q477" i="4" s="1"/>
  <c r="O568" i="4"/>
  <c r="Q568" i="4" s="1"/>
  <c r="O327" i="4"/>
  <c r="Q327" i="4" s="1"/>
  <c r="O288" i="4"/>
  <c r="Q288" i="4" s="1"/>
  <c r="O67" i="4"/>
  <c r="Q67" i="4" s="1"/>
  <c r="O69" i="4"/>
  <c r="Q69" i="4" s="1"/>
  <c r="O548" i="4"/>
  <c r="Q548" i="4" s="1"/>
  <c r="O350" i="4"/>
  <c r="Q350" i="4" s="1"/>
  <c r="O552" i="4"/>
  <c r="Q552" i="4" s="1"/>
  <c r="O515" i="4"/>
  <c r="Q515" i="4" s="1"/>
  <c r="O237" i="4"/>
  <c r="Q237" i="4" s="1"/>
  <c r="O214" i="4"/>
  <c r="Q214" i="4" s="1"/>
  <c r="O501" i="4"/>
  <c r="Q501" i="4" s="1"/>
  <c r="O323" i="4"/>
  <c r="Q323" i="4" s="1"/>
  <c r="O402" i="4"/>
  <c r="Q402" i="4" s="1"/>
  <c r="O79" i="4"/>
  <c r="Q79" i="4" s="1"/>
  <c r="O77" i="4"/>
  <c r="Q77" i="4" s="1"/>
  <c r="O293" i="4"/>
  <c r="Q293" i="4" s="1"/>
  <c r="O559" i="4"/>
  <c r="Q559" i="4" s="1"/>
  <c r="O393" i="4"/>
  <c r="Q393" i="4" s="1"/>
  <c r="O57" i="4"/>
  <c r="Q57" i="4" s="1"/>
  <c r="O193" i="4"/>
  <c r="Q193" i="4" s="1"/>
  <c r="O111" i="4"/>
  <c r="Q111" i="4" s="1"/>
  <c r="O546" i="4"/>
  <c r="Q546" i="4" s="1"/>
  <c r="O547" i="4"/>
  <c r="Q547" i="4" s="1"/>
  <c r="O49" i="4"/>
  <c r="Q49" i="4" s="1"/>
  <c r="O364" i="4"/>
  <c r="Q364" i="4" s="1"/>
  <c r="O13" i="4"/>
  <c r="Q13" i="4" s="1"/>
  <c r="O409" i="4"/>
  <c r="Q409" i="4" s="1"/>
  <c r="O506" i="4"/>
  <c r="Q506" i="4" s="1"/>
  <c r="O277" i="4"/>
  <c r="Q277" i="4" s="1"/>
  <c r="O519" i="4"/>
  <c r="Q519" i="4" s="1"/>
  <c r="O4" i="4"/>
  <c r="Q4" i="4" s="1"/>
  <c r="O222" i="4"/>
  <c r="Q222" i="4" s="1"/>
  <c r="O386" i="4"/>
  <c r="Q386" i="4" s="1"/>
  <c r="O276" i="4"/>
  <c r="Q276" i="4" s="1"/>
  <c r="O150" i="4"/>
  <c r="Q150" i="4" s="1"/>
  <c r="O247" i="4"/>
  <c r="Q247" i="4" s="1"/>
  <c r="O154" i="4"/>
  <c r="Q154" i="4" s="1"/>
  <c r="O221" i="4"/>
  <c r="Q221" i="4" s="1"/>
  <c r="O383" i="4"/>
  <c r="Q383" i="4" s="1"/>
  <c r="O321" i="4"/>
  <c r="Q321" i="4" s="1"/>
  <c r="O255" i="4"/>
  <c r="Q255" i="4" s="1"/>
  <c r="O108" i="4"/>
  <c r="Q108" i="4" s="1"/>
  <c r="O463" i="4"/>
  <c r="Q463" i="4" s="1"/>
  <c r="O295" i="4"/>
  <c r="Q295" i="4" s="1"/>
  <c r="O50" i="4"/>
  <c r="Q50" i="4" s="1"/>
  <c r="O215" i="4"/>
  <c r="Q215" i="4" s="1"/>
  <c r="O524" i="4"/>
  <c r="Q524" i="4" s="1"/>
  <c r="O232" i="4"/>
  <c r="Q232" i="4" s="1"/>
  <c r="O303" i="4"/>
  <c r="Q303" i="4" s="1"/>
  <c r="O145" i="4"/>
  <c r="Q145" i="4" s="1"/>
  <c r="O395" i="4"/>
  <c r="Q395" i="4" s="1"/>
  <c r="O495" i="4"/>
  <c r="Q495" i="4" s="1"/>
  <c r="O184" i="4"/>
  <c r="Q184" i="4" s="1"/>
  <c r="O439" i="4"/>
  <c r="Q439" i="4" s="1"/>
  <c r="O475" i="4"/>
  <c r="Q475" i="4" s="1"/>
  <c r="O226" i="4"/>
  <c r="Q226" i="4" s="1"/>
  <c r="O341" i="4"/>
  <c r="Q341" i="4" s="1"/>
  <c r="O181" i="4"/>
  <c r="Q181" i="4" s="1"/>
  <c r="O455" i="4"/>
  <c r="Q455" i="4" s="1"/>
  <c r="O174" i="4"/>
  <c r="Q174" i="4" s="1"/>
  <c r="O246" i="4"/>
  <c r="Q246" i="4" s="1"/>
  <c r="O58" i="4"/>
  <c r="Q58" i="4" s="1"/>
  <c r="O54" i="4"/>
  <c r="Q54" i="4" s="1"/>
  <c r="O97" i="4"/>
  <c r="Q97" i="4" s="1"/>
  <c r="O73" i="4"/>
  <c r="Q73" i="4" s="1"/>
  <c r="O347" i="4"/>
  <c r="Q347" i="4" s="1"/>
  <c r="O419" i="4"/>
  <c r="Q419" i="4" s="1"/>
  <c r="O442" i="4"/>
  <c r="Q442" i="4" s="1"/>
  <c r="O5" i="4"/>
  <c r="Q5" i="4" s="1"/>
  <c r="O520" i="4"/>
  <c r="Q520" i="4" s="1"/>
  <c r="O231" i="4"/>
  <c r="Q231" i="4" s="1"/>
  <c r="O176" i="4"/>
  <c r="Q176" i="4" s="1"/>
  <c r="O356" i="4"/>
  <c r="Q356" i="4" s="1"/>
  <c r="O478" i="4"/>
  <c r="Q478" i="4" s="1"/>
  <c r="O239" i="4"/>
  <c r="Q239" i="4" s="1"/>
  <c r="O553" i="4"/>
  <c r="Q553" i="4" s="1"/>
  <c r="O417" i="4"/>
  <c r="Q417" i="4" s="1"/>
  <c r="O208" i="4"/>
  <c r="Q208" i="4" s="1"/>
  <c r="O48" i="4"/>
  <c r="Q48" i="4" s="1"/>
  <c r="O292" i="4"/>
  <c r="Q292" i="4" s="1"/>
  <c r="O122" i="4"/>
  <c r="Q122" i="4" s="1"/>
  <c r="O374" i="4"/>
  <c r="Q374" i="4" s="1"/>
  <c r="O46" i="4"/>
  <c r="Q46" i="4" s="1"/>
  <c r="O51" i="4"/>
  <c r="Q51" i="4" s="1"/>
  <c r="O299" i="4"/>
  <c r="Q299" i="4" s="1"/>
  <c r="O130" i="4"/>
  <c r="Q130" i="4" s="1"/>
  <c r="O118" i="4"/>
  <c r="Q118" i="4" s="1"/>
  <c r="O289" i="4"/>
  <c r="Q289" i="4" s="1"/>
  <c r="O301" i="4"/>
  <c r="Q301" i="4" s="1"/>
  <c r="O322" i="4"/>
  <c r="Q322" i="4" s="1"/>
  <c r="O266" i="4"/>
  <c r="Q266" i="4" s="1"/>
  <c r="O492" i="4"/>
  <c r="Q492" i="4" s="1"/>
  <c r="O416" i="4"/>
  <c r="Q416" i="4" s="1"/>
  <c r="O569" i="4"/>
  <c r="Q569" i="4" s="1"/>
  <c r="O398" i="4"/>
  <c r="Q398" i="4" s="1"/>
  <c r="O187" i="4"/>
  <c r="Q187" i="4" s="1"/>
  <c r="O339" i="4"/>
  <c r="Q339" i="4" s="1"/>
  <c r="O234" i="4"/>
  <c r="Q234" i="4" s="1"/>
  <c r="O485" i="4"/>
  <c r="Q485" i="4" s="1"/>
  <c r="O518" i="4"/>
  <c r="Q518" i="4" s="1"/>
  <c r="O144" i="4"/>
  <c r="Q144" i="4" s="1"/>
  <c r="O121" i="4"/>
  <c r="Q121" i="4" s="1"/>
  <c r="O68" i="4"/>
  <c r="Q68" i="4" s="1"/>
  <c r="O541" i="4"/>
  <c r="Q541" i="4" s="1"/>
  <c r="O279" i="4"/>
  <c r="Q279" i="4" s="1"/>
  <c r="O517" i="4"/>
  <c r="Q517" i="4" s="1"/>
  <c r="O88" i="4"/>
  <c r="Q88" i="4" s="1"/>
  <c r="O110" i="4"/>
  <c r="Q110" i="4" s="1"/>
  <c r="O343" i="4"/>
  <c r="Q343" i="4" s="1"/>
  <c r="O426" i="4"/>
  <c r="Q426" i="4" s="1"/>
  <c r="O93" i="4"/>
  <c r="Q93" i="4" s="1"/>
  <c r="O212" i="4"/>
  <c r="Q212" i="4" s="1"/>
  <c r="O80" i="4"/>
  <c r="Q80" i="4" s="1"/>
  <c r="O491" i="4"/>
  <c r="Q491" i="4" s="1"/>
  <c r="O113" i="4"/>
  <c r="Q113" i="4" s="1"/>
  <c r="O165" i="4"/>
  <c r="Q165" i="4" s="1"/>
  <c r="O516" i="4"/>
  <c r="Q516" i="4" s="1"/>
  <c r="O423" i="4"/>
  <c r="Q423" i="4" s="1"/>
  <c r="O258" i="4"/>
  <c r="Q258" i="4" s="1"/>
  <c r="O500" i="4"/>
  <c r="Q500" i="4" s="1"/>
  <c r="O272" i="4"/>
  <c r="Q272" i="4" s="1"/>
  <c r="O12" i="4"/>
  <c r="Q12" i="4" s="1"/>
  <c r="O349" i="4"/>
  <c r="Q349" i="4" s="1"/>
  <c r="O355" i="4"/>
  <c r="Q355" i="4" s="1"/>
  <c r="O63" i="4"/>
  <c r="Q63" i="4" s="1"/>
  <c r="O382" i="4"/>
  <c r="Q382" i="4" s="1"/>
  <c r="O494" i="4"/>
  <c r="Q494" i="4" s="1"/>
  <c r="O98" i="4"/>
  <c r="Q98" i="4" s="1"/>
  <c r="O467" i="4"/>
  <c r="Q467" i="4" s="1"/>
  <c r="O282" i="4"/>
  <c r="Q282" i="4" s="1"/>
  <c r="O225" i="4"/>
  <c r="Q225" i="4" s="1"/>
  <c r="O557" i="4"/>
  <c r="Q557" i="4" s="1"/>
  <c r="O182" i="4"/>
  <c r="Q182" i="4" s="1"/>
  <c r="O18" i="4"/>
  <c r="Q18" i="4" s="1"/>
  <c r="O81" i="4"/>
  <c r="Q81" i="4" s="1"/>
  <c r="O217" i="4"/>
  <c r="Q217" i="4" s="1"/>
  <c r="O407" i="4"/>
  <c r="Q407" i="4" s="1"/>
  <c r="O45" i="4"/>
  <c r="Q45" i="4" s="1"/>
  <c r="O458" i="4"/>
  <c r="Q458" i="4" s="1"/>
  <c r="O155" i="4"/>
  <c r="Q155" i="4" s="1"/>
  <c r="O379" i="4"/>
  <c r="Q379" i="4" s="1"/>
  <c r="O337" i="4"/>
  <c r="Q337" i="4" s="1"/>
  <c r="O72" i="4"/>
  <c r="Q72" i="4" s="1"/>
  <c r="O471" i="4"/>
  <c r="Q471" i="4" s="1"/>
  <c r="O10" i="4"/>
  <c r="Q10" i="4" s="1"/>
  <c r="O125" i="4"/>
  <c r="Q125" i="4" s="1"/>
  <c r="O39" i="4"/>
  <c r="Q39" i="4" s="1"/>
  <c r="O205" i="4"/>
  <c r="Q205" i="4" s="1"/>
  <c r="O360" i="4"/>
  <c r="Q360" i="4" s="1"/>
  <c r="O40" i="4"/>
  <c r="Q40" i="4" s="1"/>
  <c r="O490" i="4"/>
  <c r="Q490" i="4" s="1"/>
  <c r="O504" i="4"/>
  <c r="Q504" i="4" s="1"/>
  <c r="O143" i="4"/>
  <c r="Q143" i="4" s="1"/>
  <c r="O76" i="4"/>
  <c r="Q76" i="4" s="1"/>
  <c r="O189" i="4"/>
  <c r="Q189" i="4" s="1"/>
  <c r="O19" i="4"/>
  <c r="Q19" i="4" s="1"/>
  <c r="O443" i="4"/>
  <c r="Q443" i="4" s="1"/>
  <c r="O256" i="4"/>
  <c r="Q256" i="4" s="1"/>
  <c r="O466" i="4"/>
  <c r="Q466" i="4" s="1"/>
  <c r="O313" i="4"/>
  <c r="Q313" i="4" s="1"/>
  <c r="O566" i="4"/>
  <c r="Q566" i="4" s="1"/>
  <c r="O180" i="4"/>
  <c r="Q180" i="4" s="1"/>
  <c r="O241" i="4"/>
  <c r="Q241" i="4" s="1"/>
  <c r="O334" i="4"/>
  <c r="Q334" i="4" s="1"/>
  <c r="O424" i="4"/>
  <c r="Q424" i="4" s="1"/>
  <c r="O198" i="4"/>
  <c r="Q198" i="4" s="1"/>
  <c r="O142" i="4"/>
  <c r="Q142" i="4" s="1"/>
  <c r="O275" i="4"/>
  <c r="Q275" i="4" s="1"/>
  <c r="O233" i="4"/>
  <c r="Q233" i="4" s="1"/>
  <c r="O199" i="4"/>
  <c r="Q199" i="4" s="1"/>
  <c r="O406" i="4"/>
  <c r="Q406" i="4" s="1"/>
  <c r="O287" i="4"/>
  <c r="Q287" i="4" s="1"/>
  <c r="O14" i="4"/>
  <c r="Q14" i="4" s="1"/>
  <c r="O251" i="4"/>
  <c r="Q251" i="4" s="1"/>
  <c r="O7" i="4"/>
  <c r="Q7" i="4" s="1"/>
  <c r="O219" i="4"/>
  <c r="Q219" i="4" s="1"/>
  <c r="O194" i="4"/>
  <c r="Q194" i="4" s="1"/>
  <c r="O354" i="4"/>
  <c r="Q354" i="4" s="1"/>
  <c r="O91" i="4"/>
  <c r="Q91" i="4" s="1"/>
  <c r="O314" i="4"/>
  <c r="Q314" i="4" s="1"/>
  <c r="O488" i="4"/>
  <c r="Q488" i="4" s="1"/>
  <c r="O438" i="4"/>
  <c r="Q438" i="4" s="1"/>
  <c r="O107" i="4"/>
  <c r="Q107" i="4" s="1"/>
  <c r="O220" i="4"/>
  <c r="Q220" i="4" s="1"/>
  <c r="O542" i="4"/>
  <c r="Q542" i="4" s="1"/>
  <c r="O484" i="4"/>
  <c r="Q484" i="4" s="1"/>
  <c r="O141" i="4"/>
  <c r="Q141" i="4" s="1"/>
  <c r="O202" i="4"/>
  <c r="Q202" i="4" s="1"/>
  <c r="O195" i="4"/>
  <c r="Q195" i="4" s="1"/>
  <c r="O123" i="4"/>
  <c r="Q123" i="4" s="1"/>
  <c r="O159" i="4"/>
  <c r="Q159" i="4" s="1"/>
  <c r="O70" i="4"/>
  <c r="Q70" i="4" s="1"/>
  <c r="O28" i="4"/>
  <c r="Q28" i="4" s="1"/>
  <c r="O365" i="4"/>
  <c r="Q365" i="4" s="1"/>
  <c r="O134" i="4"/>
  <c r="Q134" i="4" s="1"/>
  <c r="O34" i="4"/>
  <c r="Q34" i="4" s="1"/>
  <c r="O469" i="4"/>
  <c r="Q469" i="4" s="1"/>
  <c r="O209" i="4"/>
  <c r="Q209" i="4" s="1"/>
  <c r="O240" i="4"/>
  <c r="Q240" i="4" s="1"/>
  <c r="O89" i="4"/>
  <c r="Q89" i="4" s="1"/>
  <c r="O564" i="4"/>
  <c r="Q564" i="4" s="1"/>
  <c r="O357" i="4"/>
  <c r="Q357" i="4" s="1"/>
  <c r="O131" i="4"/>
  <c r="Q131" i="4" s="1"/>
  <c r="O554" i="4"/>
  <c r="Q554" i="4" s="1"/>
  <c r="O534" i="4"/>
  <c r="Q534" i="4" s="1"/>
  <c r="O92" i="4"/>
  <c r="Q92" i="4" s="1"/>
  <c r="O101" i="4"/>
  <c r="Q101" i="4" s="1"/>
  <c r="O20" i="4"/>
  <c r="Q20" i="4" s="1"/>
  <c r="O369" i="4"/>
  <c r="Q369" i="4" s="1"/>
  <c r="O223" i="4"/>
  <c r="Q223" i="4" s="1"/>
  <c r="O444" i="4"/>
  <c r="Q444" i="4" s="1"/>
  <c r="O127" i="4"/>
  <c r="Q127" i="4" s="1"/>
  <c r="O420" i="4"/>
  <c r="Q420" i="4" s="1"/>
  <c r="O410" i="4"/>
  <c r="Q410" i="4" s="1"/>
  <c r="O399" i="4"/>
  <c r="Q399" i="4" s="1"/>
  <c r="O206" i="4"/>
  <c r="Q206" i="4" s="1"/>
  <c r="O464" i="4"/>
  <c r="Q464" i="4" s="1"/>
  <c r="O99" i="4"/>
  <c r="Q99" i="4" s="1"/>
  <c r="O257" i="4"/>
  <c r="Q257" i="4" s="1"/>
  <c r="O405" i="4"/>
  <c r="Q405" i="4" s="1"/>
  <c r="O496" i="4"/>
  <c r="Q496" i="4" s="1"/>
  <c r="O450" i="4"/>
  <c r="Q450" i="4" s="1"/>
  <c r="O523" i="4"/>
  <c r="Q523" i="4" s="1"/>
  <c r="O188" i="4"/>
  <c r="Q188" i="4" s="1"/>
  <c r="O139" i="4"/>
  <c r="Q139" i="4" s="1"/>
  <c r="O259" i="4"/>
  <c r="Q259" i="4" s="1"/>
  <c r="O175" i="4"/>
  <c r="Q175" i="4" s="1"/>
  <c r="O316" i="4"/>
  <c r="Q316" i="4" s="1"/>
  <c r="O146" i="4"/>
  <c r="Q146" i="4" s="1"/>
  <c r="O260" i="4"/>
  <c r="Q260" i="4" s="1"/>
  <c r="O100" i="4"/>
  <c r="Q100" i="4" s="1"/>
  <c r="O380" i="4"/>
  <c r="Q380" i="4" s="1"/>
  <c r="O530" i="4"/>
  <c r="Q530" i="4" s="1"/>
  <c r="O415" i="4"/>
  <c r="Q415" i="4" s="1"/>
  <c r="O521" i="4"/>
  <c r="Q521" i="4" s="1"/>
  <c r="O451" i="4"/>
  <c r="Q451" i="4" s="1"/>
  <c r="O238" i="4"/>
  <c r="Q238" i="4" s="1"/>
  <c r="O476" i="4"/>
  <c r="Q476" i="4" s="1"/>
  <c r="O90" i="4"/>
  <c r="Q90" i="4" s="1"/>
  <c r="O457" i="4"/>
  <c r="Q457" i="4" s="1"/>
  <c r="O325" i="4"/>
  <c r="Q325" i="4" s="1"/>
  <c r="O367" i="4"/>
  <c r="Q367" i="4" s="1"/>
  <c r="O421" i="4"/>
  <c r="Q421" i="4" s="1"/>
  <c r="O115" i="4"/>
  <c r="Q115" i="4" s="1"/>
  <c r="O114" i="4"/>
  <c r="Q114" i="4" s="1"/>
  <c r="O505" i="4"/>
  <c r="Q505" i="4" s="1"/>
  <c r="O160" i="4"/>
  <c r="Q160" i="4" s="1"/>
  <c r="O294" i="4"/>
  <c r="Q294" i="4" s="1"/>
  <c r="O434" i="4"/>
  <c r="Q434" i="4" s="1"/>
  <c r="O186" i="4"/>
  <c r="Q186" i="4" s="1"/>
  <c r="O366" i="4"/>
  <c r="Q366" i="4" s="1"/>
  <c r="O278" i="4"/>
  <c r="Q278" i="4" s="1"/>
  <c r="O473" i="4"/>
  <c r="Q473" i="4" s="1"/>
  <c r="O218" i="4"/>
  <c r="Q218" i="4" s="1"/>
  <c r="O342" i="4"/>
  <c r="Q342" i="4" s="1"/>
  <c r="O200" i="4"/>
  <c r="Q200" i="4" s="1"/>
  <c r="O197" i="4"/>
  <c r="Q197" i="4" s="1"/>
  <c r="O95" i="4"/>
  <c r="Q95" i="4" s="1"/>
  <c r="O172" i="4"/>
  <c r="Q172" i="4" s="1"/>
  <c r="O400" i="4"/>
  <c r="Q400" i="4" s="1"/>
  <c r="O243" i="4"/>
  <c r="Q243" i="4" s="1"/>
  <c r="O394" i="4"/>
  <c r="Q394" i="4" s="1"/>
  <c r="O567" i="4"/>
  <c r="Q567" i="4" s="1"/>
  <c r="O29" i="4"/>
  <c r="Q29" i="4" s="1"/>
  <c r="O185" i="4"/>
  <c r="Q185" i="4" s="1"/>
  <c r="O178" i="4"/>
  <c r="Q178" i="4" s="1"/>
  <c r="O177" i="4"/>
  <c r="Q177" i="4" s="1"/>
  <c r="O163" i="4"/>
  <c r="Q163" i="4" s="1"/>
  <c r="O36" i="4"/>
  <c r="Q36" i="4" s="1"/>
  <c r="O453" i="4"/>
  <c r="Q453" i="4" s="1"/>
  <c r="O351" i="4"/>
  <c r="Q351" i="4" s="1"/>
  <c r="O84" i="4"/>
  <c r="Q84" i="4" s="1"/>
  <c r="O94" i="4"/>
  <c r="Q94" i="4" s="1"/>
  <c r="O109" i="4"/>
  <c r="Q109" i="4" s="1"/>
  <c r="O96" i="4"/>
  <c r="Q96" i="4" s="1"/>
  <c r="O544" i="4"/>
  <c r="Q544" i="4" s="1"/>
  <c r="O376" i="4"/>
  <c r="Q376" i="4" s="1"/>
  <c r="O148" i="4"/>
  <c r="Q148" i="4" s="1"/>
  <c r="O489" i="4"/>
  <c r="Q489" i="4" s="1"/>
  <c r="O62" i="4"/>
  <c r="Q62" i="4" s="1"/>
  <c r="O317" i="4"/>
  <c r="Q317" i="4" s="1"/>
  <c r="O297" i="4"/>
  <c r="Q297" i="4" s="1"/>
  <c r="O9" i="4"/>
  <c r="Q9" i="4" s="1"/>
  <c r="O522" i="4"/>
  <c r="Q522" i="4" s="1"/>
  <c r="O555" i="4"/>
  <c r="Q555" i="4" s="1"/>
  <c r="O24" i="4"/>
  <c r="Q24" i="4" s="1"/>
  <c r="O531" i="4"/>
  <c r="Q531" i="4" s="1"/>
  <c r="O556" i="4"/>
  <c r="Q556" i="4" s="1"/>
  <c r="O459" i="4"/>
  <c r="Q459" i="4" s="1"/>
  <c r="O429" i="4"/>
  <c r="Q429" i="4" s="1"/>
  <c r="O436" i="4"/>
  <c r="Q436" i="4" s="1"/>
  <c r="O158" i="4"/>
  <c r="Q158" i="4" s="1"/>
  <c r="O502" i="4"/>
  <c r="Q502" i="4" s="1"/>
  <c r="O124" i="4"/>
  <c r="Q124" i="4" s="1"/>
  <c r="O540" i="4"/>
  <c r="Q540" i="4" s="1"/>
  <c r="O102" i="4"/>
  <c r="Q102" i="4" s="1"/>
  <c r="O242" i="4"/>
  <c r="Q242" i="4" s="1"/>
  <c r="O381" i="4"/>
  <c r="Q381" i="4" s="1"/>
  <c r="O235" i="4"/>
  <c r="Q235" i="4" s="1"/>
  <c r="O346" i="4"/>
  <c r="Q346" i="4" s="1"/>
  <c r="O283" i="4"/>
  <c r="Q283" i="4" s="1"/>
  <c r="O571" i="4"/>
  <c r="Q571" i="4" s="1"/>
  <c r="O543" i="4"/>
  <c r="Q543" i="4" s="1"/>
  <c r="O481" i="4"/>
  <c r="Q481" i="4" s="1"/>
  <c r="O435" i="4"/>
  <c r="Q435" i="4" s="1"/>
  <c r="O74" i="4"/>
  <c r="Q74" i="4" s="1"/>
  <c r="O166" i="4"/>
  <c r="Q166" i="4" s="1"/>
  <c r="O338" i="4"/>
  <c r="Q338" i="4" s="1"/>
  <c r="O422" i="4"/>
  <c r="Q422" i="4" s="1"/>
  <c r="O71" i="4"/>
  <c r="Q71" i="4" s="1"/>
  <c r="O59" i="4"/>
  <c r="Q59" i="4" s="1"/>
  <c r="O213" i="4"/>
  <c r="Q213" i="4" s="1"/>
  <c r="O302" i="4"/>
  <c r="Q302" i="4" s="1"/>
  <c r="O331" i="4"/>
  <c r="Q331" i="4" s="1"/>
  <c r="O418" i="4"/>
  <c r="Q418" i="4" s="1"/>
  <c r="O368" i="4"/>
  <c r="Q368" i="4" s="1"/>
  <c r="O470" i="4"/>
  <c r="Q470" i="4" s="1"/>
  <c r="O52" i="4"/>
  <c r="Q52" i="4" s="1"/>
  <c r="O147" i="4"/>
  <c r="Q147" i="4" s="1"/>
  <c r="O87" i="4"/>
  <c r="Q87" i="4" s="1"/>
  <c r="O41" i="4"/>
  <c r="Q41" i="4" s="1"/>
  <c r="O126" i="4"/>
  <c r="Q126" i="4" s="1"/>
  <c r="O561" i="4"/>
  <c r="Q561" i="4" s="1"/>
  <c r="O404" i="4"/>
  <c r="Q404" i="4" s="1"/>
  <c r="O306" i="4"/>
  <c r="Q306" i="4" s="1"/>
  <c r="O201" i="4"/>
  <c r="Q201" i="4" s="1"/>
  <c r="O281" i="4"/>
  <c r="Q281" i="4" s="1"/>
  <c r="O330" i="4"/>
  <c r="Q330" i="4" s="1"/>
  <c r="O335" i="4"/>
  <c r="Q335" i="4" s="1"/>
  <c r="O336" i="4"/>
  <c r="Q336" i="4" s="1"/>
  <c r="O550" i="4"/>
  <c r="Q550" i="4" s="1"/>
  <c r="O474" i="4"/>
  <c r="Q474" i="4" s="1"/>
  <c r="O42" i="4"/>
  <c r="Q42" i="4" s="1"/>
  <c r="O196" i="4"/>
  <c r="Q196" i="4" s="1"/>
  <c r="O149" i="4"/>
  <c r="Q149" i="4" s="1"/>
  <c r="O119" i="4"/>
  <c r="Q119" i="4" s="1"/>
  <c r="O224" i="4"/>
  <c r="Q224" i="4" s="1"/>
  <c r="O570" i="4"/>
  <c r="Q570" i="4" s="1"/>
  <c r="O104" i="4"/>
  <c r="Q104" i="4" s="1"/>
  <c r="O286" i="4"/>
  <c r="Q286" i="4" s="1"/>
  <c r="O171" i="4"/>
  <c r="Q171" i="4" s="1"/>
  <c r="O56" i="4"/>
  <c r="Q56" i="4" s="1"/>
  <c r="O370" i="4"/>
  <c r="Q370" i="4" s="1"/>
  <c r="O375" i="4"/>
  <c r="Q375" i="4" s="1"/>
  <c r="O138" i="4"/>
  <c r="Q138" i="4" s="1"/>
  <c r="O203" i="4"/>
  <c r="Q203" i="4" s="1"/>
  <c r="O427" i="4"/>
  <c r="Q427" i="4" s="1"/>
  <c r="O332" i="4"/>
  <c r="Q332" i="4" s="1"/>
  <c r="O428" i="4"/>
  <c r="Q428" i="4" s="1"/>
  <c r="O244" i="4"/>
  <c r="Q244" i="4" s="1"/>
  <c r="O527" i="4"/>
  <c r="Q527" i="4" s="1"/>
  <c r="O507" i="4"/>
  <c r="Q507" i="4" s="1"/>
  <c r="O55" i="4"/>
  <c r="Q55" i="4" s="1"/>
  <c r="O312" i="4"/>
  <c r="Q312" i="4" s="1"/>
  <c r="O545" i="4"/>
  <c r="Q545" i="4" s="1"/>
  <c r="O183" i="4"/>
  <c r="Q183" i="4" s="1"/>
  <c r="O211" i="4"/>
  <c r="Q211" i="4" s="1"/>
  <c r="O22" i="4"/>
  <c r="Q22" i="4" s="1"/>
  <c r="O167" i="4"/>
  <c r="Q167" i="4" s="1"/>
  <c r="O267" i="4"/>
  <c r="Q267" i="4" s="1"/>
  <c r="O549" i="4"/>
  <c r="Q549" i="4" s="1"/>
  <c r="O298" i="4"/>
  <c r="Q298" i="4" s="1"/>
  <c r="O391" i="4"/>
  <c r="Q391" i="4" s="1"/>
  <c r="O363" i="4"/>
  <c r="Q363" i="4" s="1"/>
  <c r="O452" i="4"/>
  <c r="Q452" i="4" s="1"/>
  <c r="O23" i="4"/>
  <c r="Q23" i="4" s="1"/>
  <c r="O112" i="4"/>
  <c r="Q112" i="4" s="1"/>
  <c r="O333" i="4"/>
  <c r="Q333" i="4" s="1"/>
  <c r="O503" i="4"/>
  <c r="Q503" i="4" s="1"/>
  <c r="O210" i="4"/>
  <c r="Q210" i="4" s="1"/>
  <c r="O82" i="4"/>
  <c r="Q82" i="4" s="1"/>
  <c r="O456" i="4"/>
  <c r="Q456" i="4" s="1"/>
  <c r="O6" i="4"/>
  <c r="Q6" i="4" s="1"/>
  <c r="O33" i="4"/>
  <c r="Q33" i="4" s="1"/>
  <c r="O326" i="4"/>
  <c r="Q326" i="4" s="1"/>
  <c r="O413" i="4"/>
  <c r="Q413" i="4" s="1"/>
  <c r="O465" i="4"/>
  <c r="Q465" i="4" s="1"/>
  <c r="O558" i="4"/>
  <c r="Q558" i="4" s="1"/>
  <c r="O412" i="4"/>
  <c r="Q412" i="4" s="1"/>
  <c r="O529" i="4"/>
  <c r="Q529" i="4" s="1"/>
  <c r="O264" i="4"/>
  <c r="Q264" i="4" s="1"/>
  <c r="O61" i="4"/>
  <c r="Q61" i="4" s="1"/>
  <c r="O133" i="4"/>
  <c r="Q133" i="4" s="1"/>
  <c r="O359" i="4"/>
  <c r="Q359" i="4" s="1"/>
  <c r="O345" i="4"/>
  <c r="Q345" i="4" s="1"/>
  <c r="O106" i="4"/>
  <c r="Q106" i="4" s="1"/>
  <c r="O526" i="4"/>
  <c r="Q526" i="4" s="1"/>
  <c r="O433" i="4"/>
  <c r="Q433" i="4" s="1"/>
  <c r="O329" i="4"/>
  <c r="Q329" i="4" s="1"/>
  <c r="O265" i="4"/>
  <c r="Q265" i="4" s="1"/>
  <c r="O26" i="4"/>
  <c r="Q26" i="4" s="1"/>
  <c r="O378" i="4"/>
  <c r="Q378" i="4" s="1"/>
  <c r="O38" i="4"/>
  <c r="Q38" i="4" s="1"/>
  <c r="O271" i="4"/>
  <c r="Q271" i="4" s="1"/>
  <c r="O157" i="4"/>
  <c r="Q157" i="4" s="1"/>
  <c r="O308" i="4"/>
  <c r="Q308" i="4" s="1"/>
  <c r="O461" i="4"/>
  <c r="Q461" i="4" s="1"/>
  <c r="O362" i="4"/>
  <c r="Q362" i="4" s="1"/>
  <c r="O563" i="4"/>
  <c r="Q563" i="4" s="1"/>
  <c r="O514" i="4"/>
  <c r="Q514" i="4" s="1"/>
  <c r="O66" i="4"/>
  <c r="Q66" i="4" s="1"/>
  <c r="O511" i="4"/>
  <c r="Q511" i="4" s="1"/>
  <c r="O228" i="4"/>
  <c r="Q228" i="4" s="1"/>
  <c r="O117" i="4"/>
  <c r="Q117" i="4" s="1"/>
  <c r="O385" i="4"/>
  <c r="Q385" i="4" s="1"/>
  <c r="O373" i="4"/>
  <c r="Q373" i="4" s="1"/>
  <c r="O397" i="4"/>
  <c r="Q397" i="4" s="1"/>
  <c r="O487" i="4"/>
  <c r="Q487" i="4" s="1"/>
  <c r="O192" i="4"/>
  <c r="Q192" i="4" s="1"/>
  <c r="O269" i="4"/>
  <c r="Q269" i="4" s="1"/>
  <c r="O3" i="4"/>
  <c r="Q3" i="4" s="1"/>
  <c r="O509" i="4"/>
  <c r="Q509" i="4" s="1"/>
  <c r="O446" i="4"/>
  <c r="Q446" i="4" s="1"/>
  <c r="O353" i="4"/>
  <c r="Q353" i="4" s="1"/>
  <c r="O31" i="4"/>
  <c r="Q31" i="4" s="1"/>
  <c r="O230" i="4"/>
  <c r="Q230" i="4" s="1"/>
  <c r="O483" i="4"/>
  <c r="Q483" i="4" s="1"/>
  <c r="O129" i="4"/>
  <c r="Q129" i="4" s="1"/>
  <c r="O390" i="4"/>
  <c r="Q390" i="4" s="1"/>
  <c r="O170" i="4"/>
  <c r="Q170" i="4" s="1"/>
  <c r="O319" i="4"/>
  <c r="Q319" i="4" s="1"/>
  <c r="O136" i="4"/>
  <c r="Q136" i="4" s="1"/>
  <c r="O305" i="4"/>
  <c r="Q305" i="4" s="1"/>
  <c r="O274" i="4"/>
  <c r="Q274" i="4" s="1"/>
  <c r="O162" i="4"/>
  <c r="Q162" i="4" s="1"/>
  <c r="O480" i="4"/>
  <c r="Q480" i="4" s="1"/>
  <c r="O291" i="4"/>
  <c r="Q291" i="4" s="1"/>
  <c r="O17" i="4"/>
  <c r="Q17" i="4" s="1"/>
  <c r="O533" i="4"/>
  <c r="Q533" i="4" s="1"/>
  <c r="O86" i="4"/>
  <c r="Q86" i="4" s="1"/>
  <c r="O310" i="4"/>
  <c r="Q310" i="4" s="1"/>
  <c r="O468" i="4"/>
  <c r="Q468" i="4" s="1"/>
  <c r="O216" i="4"/>
  <c r="Q216" i="4" s="1"/>
  <c r="O535" i="4"/>
  <c r="Q535" i="4" s="1"/>
  <c r="O440" i="4"/>
  <c r="Q440" i="4" s="1"/>
  <c r="O75" i="4"/>
  <c r="Q75" i="4" s="1"/>
  <c r="O348" i="4"/>
  <c r="Q348" i="4" s="1"/>
  <c r="O261" i="4"/>
  <c r="Q261" i="4" s="1"/>
  <c r="O441" i="4"/>
  <c r="Q441" i="4" s="1"/>
  <c r="O153" i="4"/>
  <c r="Q153" i="4" s="1"/>
  <c r="O252" i="4"/>
  <c r="Q252" i="4" s="1"/>
  <c r="O53" i="4"/>
  <c r="Q53" i="4" s="1"/>
  <c r="O311" i="4"/>
  <c r="Q311" i="4" s="1"/>
  <c r="O140" i="4"/>
  <c r="Q140" i="4" s="1"/>
  <c r="O403" i="4"/>
  <c r="Q403" i="4" s="1"/>
  <c r="O538" i="4"/>
  <c r="Q538" i="4" s="1"/>
  <c r="O315" i="4"/>
  <c r="Q315" i="4" s="1"/>
  <c r="O448" i="4"/>
  <c r="Q448" i="4" s="1"/>
  <c r="O152" i="4"/>
  <c r="Q152" i="4" s="1"/>
  <c r="O21" i="4"/>
  <c r="Q21" i="4" s="1"/>
  <c r="N324" i="4"/>
  <c r="N78" i="4"/>
  <c r="N164" i="4"/>
  <c r="N371" i="4"/>
  <c r="N35" i="4"/>
  <c r="N408" i="4"/>
  <c r="N47" i="4"/>
  <c r="N498" i="4"/>
  <c r="N411" i="4"/>
  <c r="N528" i="4"/>
  <c r="N262" i="4"/>
  <c r="N60" i="4"/>
  <c r="N132" i="4"/>
  <c r="N358" i="4"/>
  <c r="N344" i="4"/>
  <c r="N105" i="4"/>
  <c r="N525" i="4"/>
  <c r="N432" i="4"/>
  <c r="N328" i="4"/>
  <c r="N263" i="4"/>
  <c r="N25" i="4"/>
  <c r="N377" i="4"/>
  <c r="N37" i="4"/>
  <c r="N270" i="4"/>
  <c r="N156" i="4"/>
  <c r="N307" i="4"/>
  <c r="N460" i="4"/>
  <c r="N361" i="4"/>
  <c r="N562" i="4"/>
  <c r="N513" i="4"/>
  <c r="N65" i="4"/>
  <c r="N510" i="4"/>
  <c r="N227" i="4"/>
  <c r="N116" i="4"/>
  <c r="N384" i="4"/>
  <c r="N372" i="4"/>
  <c r="N396" i="4"/>
  <c r="N486" i="4"/>
  <c r="N191" i="4"/>
  <c r="N268" i="4"/>
  <c r="N2" i="4"/>
  <c r="N508" i="4"/>
  <c r="N445" i="4"/>
  <c r="N352" i="4"/>
  <c r="N30" i="4"/>
  <c r="N229" i="4"/>
  <c r="N482" i="4"/>
  <c r="N128" i="4"/>
  <c r="N389" i="4"/>
  <c r="N169" i="4"/>
  <c r="N318" i="4"/>
  <c r="N135" i="4"/>
  <c r="N304" i="4"/>
  <c r="N273" i="4"/>
  <c r="N161" i="4"/>
  <c r="N479" i="4"/>
  <c r="N290" i="4"/>
  <c r="N16" i="4"/>
  <c r="N532" i="4"/>
  <c r="N85" i="4"/>
  <c r="N309" i="4"/>
  <c r="N454" i="4"/>
  <c r="N27" i="4"/>
  <c r="N15" i="4"/>
  <c r="N493" i="4"/>
  <c r="N120" i="4"/>
  <c r="N392" i="4"/>
  <c r="N248" i="4"/>
  <c r="N83" i="4"/>
  <c r="N43" i="4"/>
  <c r="N462" i="4"/>
  <c r="N137" i="4"/>
  <c r="N168" i="4"/>
  <c r="N536" i="4"/>
  <c r="N387" i="4"/>
  <c r="N320" i="4"/>
  <c r="N447" i="4"/>
  <c r="N245" i="4"/>
  <c r="N151" i="4"/>
  <c r="N173" i="4"/>
  <c r="N44" i="4"/>
  <c r="N254" i="4"/>
  <c r="N430" i="4"/>
  <c r="N103" i="4"/>
  <c r="N32" i="4"/>
  <c r="N284" i="4"/>
  <c r="N388" i="4"/>
  <c r="N179" i="4"/>
  <c r="N539" i="4"/>
  <c r="N11" i="4"/>
  <c r="N296" i="4"/>
  <c r="N300" i="4"/>
  <c r="N449" i="4"/>
  <c r="N249" i="4"/>
  <c r="N285" i="4"/>
  <c r="N190" i="4"/>
  <c r="N207" i="4"/>
  <c r="N565" i="4"/>
  <c r="N551" i="4"/>
  <c r="N431" i="4"/>
  <c r="N253" i="4"/>
  <c r="N204" i="4"/>
  <c r="N512" i="4"/>
  <c r="N477" i="4"/>
  <c r="N568" i="4"/>
  <c r="N327" i="4"/>
  <c r="N288" i="4"/>
  <c r="N67" i="4"/>
  <c r="N69" i="4"/>
  <c r="N548" i="4"/>
  <c r="N350" i="4"/>
  <c r="N552" i="4"/>
  <c r="N515" i="4"/>
  <c r="N237" i="4"/>
  <c r="N214" i="4"/>
  <c r="N501" i="4"/>
  <c r="N323" i="4"/>
  <c r="N402" i="4"/>
  <c r="N79" i="4"/>
  <c r="N77" i="4"/>
  <c r="N293" i="4"/>
  <c r="N559" i="4"/>
  <c r="N393" i="4"/>
  <c r="N57" i="4"/>
  <c r="N193" i="4"/>
  <c r="N111" i="4"/>
  <c r="N546" i="4"/>
  <c r="N547" i="4"/>
  <c r="N49" i="4"/>
  <c r="N364" i="4"/>
  <c r="N13" i="4"/>
  <c r="N409" i="4"/>
  <c r="N506" i="4"/>
  <c r="N277" i="4"/>
  <c r="N519" i="4"/>
  <c r="N4" i="4"/>
  <c r="N222" i="4"/>
  <c r="N386" i="4"/>
  <c r="N276" i="4"/>
  <c r="N150" i="4"/>
  <c r="N247" i="4"/>
  <c r="N154" i="4"/>
  <c r="N221" i="4"/>
  <c r="N383" i="4"/>
  <c r="N321" i="4"/>
  <c r="N255" i="4"/>
  <c r="N108" i="4"/>
  <c r="N463" i="4"/>
  <c r="N295" i="4"/>
  <c r="N50" i="4"/>
  <c r="N215" i="4"/>
  <c r="N524" i="4"/>
  <c r="N232" i="4"/>
  <c r="N303" i="4"/>
  <c r="N145" i="4"/>
  <c r="N395" i="4"/>
  <c r="N495" i="4"/>
  <c r="N184" i="4"/>
  <c r="N439" i="4"/>
  <c r="N475" i="4"/>
  <c r="N226" i="4"/>
  <c r="N341" i="4"/>
  <c r="N181" i="4"/>
  <c r="N455" i="4"/>
  <c r="N174" i="4"/>
  <c r="N246" i="4"/>
  <c r="N58" i="4"/>
  <c r="N54" i="4"/>
  <c r="N97" i="4"/>
  <c r="N73" i="4"/>
  <c r="N347" i="4"/>
  <c r="N419" i="4"/>
  <c r="N442" i="4"/>
  <c r="N5" i="4"/>
  <c r="N520" i="4"/>
  <c r="N231" i="4"/>
  <c r="N176" i="4"/>
  <c r="N356" i="4"/>
  <c r="N478" i="4"/>
  <c r="N239" i="4"/>
  <c r="N553" i="4"/>
  <c r="N417" i="4"/>
  <c r="N208" i="4"/>
  <c r="N48" i="4"/>
  <c r="N292" i="4"/>
  <c r="N122" i="4"/>
  <c r="N374" i="4"/>
  <c r="N46" i="4"/>
  <c r="N51" i="4"/>
  <c r="N299" i="4"/>
  <c r="N130" i="4"/>
  <c r="N118" i="4"/>
  <c r="N289" i="4"/>
  <c r="N301" i="4"/>
  <c r="N322" i="4"/>
  <c r="N266" i="4"/>
  <c r="N492" i="4"/>
  <c r="N416" i="4"/>
  <c r="N569" i="4"/>
  <c r="N398" i="4"/>
  <c r="N187" i="4"/>
  <c r="N339" i="4"/>
  <c r="N234" i="4"/>
  <c r="N485" i="4"/>
  <c r="N518" i="4"/>
  <c r="N144" i="4"/>
  <c r="N121" i="4"/>
  <c r="N68" i="4"/>
  <c r="N541" i="4"/>
  <c r="N279" i="4"/>
  <c r="N517" i="4"/>
  <c r="N88" i="4"/>
  <c r="N110" i="4"/>
  <c r="N343" i="4"/>
  <c r="N426" i="4"/>
  <c r="N93" i="4"/>
  <c r="N212" i="4"/>
  <c r="N80" i="4"/>
  <c r="N491" i="4"/>
  <c r="N113" i="4"/>
  <c r="N165" i="4"/>
  <c r="N516" i="4"/>
  <c r="N423" i="4"/>
  <c r="N258" i="4"/>
  <c r="N500" i="4"/>
  <c r="N272" i="4"/>
  <c r="N12" i="4"/>
  <c r="N349" i="4"/>
  <c r="N355" i="4"/>
  <c r="N63" i="4"/>
  <c r="N382" i="4"/>
  <c r="N494" i="4"/>
  <c r="N98" i="4"/>
  <c r="N467" i="4"/>
  <c r="N282" i="4"/>
  <c r="N225" i="4"/>
  <c r="N557" i="4"/>
  <c r="N182" i="4"/>
  <c r="N18" i="4"/>
  <c r="N81" i="4"/>
  <c r="N217" i="4"/>
  <c r="N407" i="4"/>
  <c r="N45" i="4"/>
  <c r="N458" i="4"/>
  <c r="N155" i="4"/>
  <c r="N379" i="4"/>
  <c r="N337" i="4"/>
  <c r="N72" i="4"/>
  <c r="N471" i="4"/>
  <c r="N10" i="4"/>
  <c r="N125" i="4"/>
  <c r="N39" i="4"/>
  <c r="N205" i="4"/>
  <c r="N360" i="4"/>
  <c r="N40" i="4"/>
  <c r="N490" i="4"/>
  <c r="N504" i="4"/>
  <c r="N143" i="4"/>
  <c r="N76" i="4"/>
  <c r="N189" i="4"/>
  <c r="N19" i="4"/>
  <c r="N443" i="4"/>
  <c r="N256" i="4"/>
  <c r="N466" i="4"/>
  <c r="N313" i="4"/>
  <c r="N566" i="4"/>
  <c r="N180" i="4"/>
  <c r="N241" i="4"/>
  <c r="N334" i="4"/>
  <c r="N424" i="4"/>
  <c r="N198" i="4"/>
  <c r="N142" i="4"/>
  <c r="N275" i="4"/>
  <c r="N233" i="4"/>
  <c r="N199" i="4"/>
  <c r="N406" i="4"/>
  <c r="N287" i="4"/>
  <c r="N14" i="4"/>
  <c r="N251" i="4"/>
  <c r="N7" i="4"/>
  <c r="N219" i="4"/>
  <c r="N194" i="4"/>
  <c r="N354" i="4"/>
  <c r="N91" i="4"/>
  <c r="N314" i="4"/>
  <c r="N488" i="4"/>
  <c r="N438" i="4"/>
  <c r="N107" i="4"/>
  <c r="N220" i="4"/>
  <c r="N542" i="4"/>
  <c r="N484" i="4"/>
  <c r="N141" i="4"/>
  <c r="N202" i="4"/>
  <c r="N195" i="4"/>
  <c r="N123" i="4"/>
  <c r="N159" i="4"/>
  <c r="N70" i="4"/>
  <c r="N28" i="4"/>
  <c r="N365" i="4"/>
  <c r="N134" i="4"/>
  <c r="N34" i="4"/>
  <c r="N469" i="4"/>
  <c r="N209" i="4"/>
  <c r="N240" i="4"/>
  <c r="N89" i="4"/>
  <c r="N564" i="4"/>
  <c r="N357" i="4"/>
  <c r="N131" i="4"/>
  <c r="N554" i="4"/>
  <c r="N534" i="4"/>
  <c r="N92" i="4"/>
  <c r="N101" i="4"/>
  <c r="N20" i="4"/>
  <c r="N369" i="4"/>
  <c r="N223" i="4"/>
  <c r="N444" i="4"/>
  <c r="N127" i="4"/>
  <c r="N420" i="4"/>
  <c r="N410" i="4"/>
  <c r="N399" i="4"/>
  <c r="N206" i="4"/>
  <c r="N464" i="4"/>
  <c r="N99" i="4"/>
  <c r="N257" i="4"/>
  <c r="N405" i="4"/>
  <c r="N496" i="4"/>
  <c r="N450" i="4"/>
  <c r="N523" i="4"/>
  <c r="N188" i="4"/>
  <c r="N139" i="4"/>
  <c r="N259" i="4"/>
  <c r="N175" i="4"/>
  <c r="N316" i="4"/>
  <c r="N146" i="4"/>
  <c r="N260" i="4"/>
  <c r="N100" i="4"/>
  <c r="N380" i="4"/>
  <c r="N530" i="4"/>
  <c r="N415" i="4"/>
  <c r="N521" i="4"/>
  <c r="N451" i="4"/>
  <c r="N238" i="4"/>
  <c r="N476" i="4"/>
  <c r="N90" i="4"/>
  <c r="N457" i="4"/>
  <c r="N325" i="4"/>
  <c r="N367" i="4"/>
  <c r="N421" i="4"/>
  <c r="N115" i="4"/>
  <c r="N114" i="4"/>
  <c r="N505" i="4"/>
  <c r="N160" i="4"/>
  <c r="N294" i="4"/>
  <c r="N434" i="4"/>
  <c r="N186" i="4"/>
  <c r="N366" i="4"/>
  <c r="N278" i="4"/>
  <c r="N473" i="4"/>
  <c r="N218" i="4"/>
  <c r="N342" i="4"/>
  <c r="N200" i="4"/>
  <c r="N197" i="4"/>
  <c r="N95" i="4"/>
  <c r="N172" i="4"/>
  <c r="N400" i="4"/>
  <c r="N243" i="4"/>
  <c r="N394" i="4"/>
  <c r="N567" i="4"/>
  <c r="N29" i="4"/>
  <c r="N185" i="4"/>
  <c r="N178" i="4"/>
  <c r="N177" i="4"/>
  <c r="N163" i="4"/>
  <c r="N36" i="4"/>
  <c r="N453" i="4"/>
  <c r="N351" i="4"/>
  <c r="N84" i="4"/>
  <c r="N94" i="4"/>
  <c r="N109" i="4"/>
  <c r="N96" i="4"/>
  <c r="N544" i="4"/>
  <c r="N376" i="4"/>
  <c r="N148" i="4"/>
  <c r="N489" i="4"/>
  <c r="N62" i="4"/>
  <c r="N317" i="4"/>
  <c r="N297" i="4"/>
  <c r="N9" i="4"/>
  <c r="N522" i="4"/>
  <c r="N555" i="4"/>
  <c r="N24" i="4"/>
  <c r="N531" i="4"/>
  <c r="N556" i="4"/>
  <c r="N459" i="4"/>
  <c r="N429" i="4"/>
  <c r="N436" i="4"/>
  <c r="N158" i="4"/>
  <c r="N502" i="4"/>
  <c r="N124" i="4"/>
  <c r="N540" i="4"/>
  <c r="N102" i="4"/>
  <c r="N242" i="4"/>
  <c r="N381" i="4"/>
  <c r="N235" i="4"/>
  <c r="N346" i="4"/>
  <c r="N283" i="4"/>
  <c r="N571" i="4"/>
  <c r="N543" i="4"/>
  <c r="N481" i="4"/>
  <c r="N435" i="4"/>
  <c r="N74" i="4"/>
  <c r="N166" i="4"/>
  <c r="N338" i="4"/>
  <c r="N422" i="4"/>
  <c r="N71" i="4"/>
  <c r="N59" i="4"/>
  <c r="N213" i="4"/>
  <c r="N302" i="4"/>
  <c r="N331" i="4"/>
  <c r="N418" i="4"/>
  <c r="N368" i="4"/>
  <c r="N470" i="4"/>
  <c r="N52" i="4"/>
  <c r="N147" i="4"/>
  <c r="N87" i="4"/>
  <c r="N41" i="4"/>
  <c r="N126" i="4"/>
  <c r="N561" i="4"/>
  <c r="N404" i="4"/>
  <c r="N306" i="4"/>
  <c r="N201" i="4"/>
  <c r="N281" i="4"/>
  <c r="N330" i="4"/>
  <c r="N335" i="4"/>
  <c r="N336" i="4"/>
  <c r="N550" i="4"/>
  <c r="N474" i="4"/>
  <c r="N42" i="4"/>
  <c r="N196" i="4"/>
  <c r="N149" i="4"/>
  <c r="N119" i="4"/>
  <c r="N224" i="4"/>
  <c r="N570" i="4"/>
  <c r="N104" i="4"/>
  <c r="N286" i="4"/>
  <c r="N171" i="4"/>
  <c r="N56" i="4"/>
  <c r="N370" i="4"/>
  <c r="N375" i="4"/>
  <c r="N138" i="4"/>
  <c r="N203" i="4"/>
  <c r="N427" i="4"/>
  <c r="N332" i="4"/>
  <c r="N428" i="4"/>
  <c r="N244" i="4"/>
  <c r="N527" i="4"/>
  <c r="N507" i="4"/>
  <c r="N55" i="4"/>
  <c r="N312" i="4"/>
  <c r="N545" i="4"/>
  <c r="N183" i="4"/>
  <c r="N211" i="4"/>
  <c r="N22" i="4"/>
  <c r="N167" i="4"/>
  <c r="N267" i="4"/>
  <c r="N549" i="4"/>
  <c r="N298" i="4"/>
  <c r="N391" i="4"/>
  <c r="N363" i="4"/>
  <c r="N452" i="4"/>
  <c r="N23" i="4"/>
  <c r="N112" i="4"/>
  <c r="N333" i="4"/>
  <c r="N503" i="4"/>
  <c r="N210" i="4"/>
  <c r="N82" i="4"/>
  <c r="N456" i="4"/>
  <c r="N6" i="4"/>
  <c r="N33" i="4"/>
  <c r="N326" i="4"/>
  <c r="N413" i="4"/>
  <c r="N465" i="4"/>
  <c r="N558" i="4"/>
  <c r="N412" i="4"/>
  <c r="N529" i="4"/>
  <c r="N264" i="4"/>
  <c r="N61" i="4"/>
  <c r="N133" i="4"/>
  <c r="N359" i="4"/>
  <c r="N345" i="4"/>
  <c r="N106" i="4"/>
  <c r="N526" i="4"/>
  <c r="N433" i="4"/>
  <c r="N329" i="4"/>
  <c r="N265" i="4"/>
  <c r="N26" i="4"/>
  <c r="N378" i="4"/>
  <c r="N38" i="4"/>
  <c r="N271" i="4"/>
  <c r="N157" i="4"/>
  <c r="N308" i="4"/>
  <c r="N461" i="4"/>
  <c r="N362" i="4"/>
  <c r="N563" i="4"/>
  <c r="N514" i="4"/>
  <c r="N66" i="4"/>
  <c r="N511" i="4"/>
  <c r="N228" i="4"/>
  <c r="N117" i="4"/>
  <c r="N385" i="4"/>
  <c r="N373" i="4"/>
  <c r="N397" i="4"/>
  <c r="N487" i="4"/>
  <c r="N192" i="4"/>
  <c r="N269" i="4"/>
  <c r="N3" i="4"/>
  <c r="N509" i="4"/>
  <c r="N446" i="4"/>
  <c r="N353" i="4"/>
  <c r="N31" i="4"/>
  <c r="N230" i="4"/>
  <c r="N483" i="4"/>
  <c r="N129" i="4"/>
  <c r="N390" i="4"/>
  <c r="N170" i="4"/>
  <c r="N319" i="4"/>
  <c r="N136" i="4"/>
  <c r="N305" i="4"/>
  <c r="N274" i="4"/>
  <c r="N162" i="4"/>
  <c r="N480" i="4"/>
  <c r="N291" i="4"/>
  <c r="N17" i="4"/>
  <c r="N533" i="4"/>
  <c r="N86" i="4"/>
  <c r="N310" i="4"/>
  <c r="N468" i="4"/>
  <c r="N216" i="4"/>
  <c r="N535" i="4"/>
  <c r="N440" i="4"/>
  <c r="N75" i="4"/>
  <c r="N348" i="4"/>
  <c r="N261" i="4"/>
  <c r="N441" i="4"/>
  <c r="N153" i="4"/>
  <c r="N252" i="4"/>
  <c r="N53" i="4"/>
  <c r="N311" i="4"/>
  <c r="N140" i="4"/>
  <c r="N403" i="4"/>
  <c r="N538" i="4"/>
  <c r="N315" i="4"/>
  <c r="N448" i="4"/>
  <c r="N152" i="4"/>
  <c r="N21" i="4"/>
  <c r="M324" i="4"/>
  <c r="M78" i="4"/>
  <c r="M164" i="4"/>
  <c r="M371" i="4"/>
  <c r="M35" i="4"/>
  <c r="M408" i="4"/>
  <c r="M47" i="4"/>
  <c r="M498" i="4"/>
  <c r="M411" i="4"/>
  <c r="M528" i="4"/>
  <c r="M262" i="4"/>
  <c r="M60" i="4"/>
  <c r="M132" i="4"/>
  <c r="M358" i="4"/>
  <c r="M344" i="4"/>
  <c r="M105" i="4"/>
  <c r="M525" i="4"/>
  <c r="M432" i="4"/>
  <c r="M328" i="4"/>
  <c r="M263" i="4"/>
  <c r="M25" i="4"/>
  <c r="M377" i="4"/>
  <c r="M37" i="4"/>
  <c r="M270" i="4"/>
  <c r="M156" i="4"/>
  <c r="M307" i="4"/>
  <c r="M460" i="4"/>
  <c r="M361" i="4"/>
  <c r="M562" i="4"/>
  <c r="M513" i="4"/>
  <c r="M65" i="4"/>
  <c r="M510" i="4"/>
  <c r="M227" i="4"/>
  <c r="M116" i="4"/>
  <c r="M384" i="4"/>
  <c r="M372" i="4"/>
  <c r="M396" i="4"/>
  <c r="M486" i="4"/>
  <c r="M191" i="4"/>
  <c r="M268" i="4"/>
  <c r="M2" i="4"/>
  <c r="M508" i="4"/>
  <c r="M445" i="4"/>
  <c r="M352" i="4"/>
  <c r="M30" i="4"/>
  <c r="M229" i="4"/>
  <c r="M482" i="4"/>
  <c r="M128" i="4"/>
  <c r="M389" i="4"/>
  <c r="M169" i="4"/>
  <c r="M318" i="4"/>
  <c r="M135" i="4"/>
  <c r="M304" i="4"/>
  <c r="M273" i="4"/>
  <c r="M161" i="4"/>
  <c r="M479" i="4"/>
  <c r="M290" i="4"/>
  <c r="M16" i="4"/>
  <c r="M532" i="4"/>
  <c r="M85" i="4"/>
  <c r="M309" i="4"/>
  <c r="M454" i="4"/>
  <c r="M27" i="4"/>
  <c r="M15" i="4"/>
  <c r="M493" i="4"/>
  <c r="M120" i="4"/>
  <c r="M392" i="4"/>
  <c r="M248" i="4"/>
  <c r="M83" i="4"/>
  <c r="M43" i="4"/>
  <c r="M462" i="4"/>
  <c r="M137" i="4"/>
  <c r="M168" i="4"/>
  <c r="M536" i="4"/>
  <c r="M387" i="4"/>
  <c r="M320" i="4"/>
  <c r="M447" i="4"/>
  <c r="M245" i="4"/>
  <c r="M151" i="4"/>
  <c r="M173" i="4"/>
  <c r="M44" i="4"/>
  <c r="M254" i="4"/>
  <c r="M430" i="4"/>
  <c r="M103" i="4"/>
  <c r="M32" i="4"/>
  <c r="M284" i="4"/>
  <c r="M388" i="4"/>
  <c r="M179" i="4"/>
  <c r="M539" i="4"/>
  <c r="M11" i="4"/>
  <c r="M296" i="4"/>
  <c r="M300" i="4"/>
  <c r="M449" i="4"/>
  <c r="M249" i="4"/>
  <c r="M285" i="4"/>
  <c r="M190" i="4"/>
  <c r="M207" i="4"/>
  <c r="M565" i="4"/>
  <c r="M551" i="4"/>
  <c r="M431" i="4"/>
  <c r="M253" i="4"/>
  <c r="M204" i="4"/>
  <c r="M512" i="4"/>
  <c r="M477" i="4"/>
  <c r="M568" i="4"/>
  <c r="M327" i="4"/>
  <c r="M288" i="4"/>
  <c r="M67" i="4"/>
  <c r="M69" i="4"/>
  <c r="M548" i="4"/>
  <c r="M350" i="4"/>
  <c r="M552" i="4"/>
  <c r="M515" i="4"/>
  <c r="M237" i="4"/>
  <c r="M214" i="4"/>
  <c r="M501" i="4"/>
  <c r="M323" i="4"/>
  <c r="M402" i="4"/>
  <c r="M79" i="4"/>
  <c r="M77" i="4"/>
  <c r="M293" i="4"/>
  <c r="M559" i="4"/>
  <c r="M393" i="4"/>
  <c r="M57" i="4"/>
  <c r="M193" i="4"/>
  <c r="M111" i="4"/>
  <c r="M546" i="4"/>
  <c r="M547" i="4"/>
  <c r="M49" i="4"/>
  <c r="M364" i="4"/>
  <c r="M13" i="4"/>
  <c r="M409" i="4"/>
  <c r="M506" i="4"/>
  <c r="M277" i="4"/>
  <c r="M519" i="4"/>
  <c r="M4" i="4"/>
  <c r="M222" i="4"/>
  <c r="M386" i="4"/>
  <c r="M276" i="4"/>
  <c r="M150" i="4"/>
  <c r="M247" i="4"/>
  <c r="M154" i="4"/>
  <c r="M221" i="4"/>
  <c r="M383" i="4"/>
  <c r="M321" i="4"/>
  <c r="M255" i="4"/>
  <c r="M108" i="4"/>
  <c r="M463" i="4"/>
  <c r="M295" i="4"/>
  <c r="M50" i="4"/>
  <c r="M215" i="4"/>
  <c r="M524" i="4"/>
  <c r="M232" i="4"/>
  <c r="M303" i="4"/>
  <c r="M145" i="4"/>
  <c r="M395" i="4"/>
  <c r="M495" i="4"/>
  <c r="M184" i="4"/>
  <c r="M439" i="4"/>
  <c r="M475" i="4"/>
  <c r="M226" i="4"/>
  <c r="M341" i="4"/>
  <c r="M181" i="4"/>
  <c r="M455" i="4"/>
  <c r="M174" i="4"/>
  <c r="M246" i="4"/>
  <c r="M58" i="4"/>
  <c r="M54" i="4"/>
  <c r="M97" i="4"/>
  <c r="M73" i="4"/>
  <c r="M347" i="4"/>
  <c r="M419" i="4"/>
  <c r="M442" i="4"/>
  <c r="M5" i="4"/>
  <c r="M520" i="4"/>
  <c r="M231" i="4"/>
  <c r="M176" i="4"/>
  <c r="M356" i="4"/>
  <c r="M478" i="4"/>
  <c r="M239" i="4"/>
  <c r="M553" i="4"/>
  <c r="M417" i="4"/>
  <c r="M208" i="4"/>
  <c r="M48" i="4"/>
  <c r="M292" i="4"/>
  <c r="M122" i="4"/>
  <c r="M374" i="4"/>
  <c r="M46" i="4"/>
  <c r="M51" i="4"/>
  <c r="M299" i="4"/>
  <c r="M130" i="4"/>
  <c r="M118" i="4"/>
  <c r="M289" i="4"/>
  <c r="M301" i="4"/>
  <c r="M322" i="4"/>
  <c r="M266" i="4"/>
  <c r="M492" i="4"/>
  <c r="M416" i="4"/>
  <c r="M569" i="4"/>
  <c r="M398" i="4"/>
  <c r="M187" i="4"/>
  <c r="M339" i="4"/>
  <c r="M234" i="4"/>
  <c r="M485" i="4"/>
  <c r="M518" i="4"/>
  <c r="M144" i="4"/>
  <c r="M121" i="4"/>
  <c r="M68" i="4"/>
  <c r="M541" i="4"/>
  <c r="M279" i="4"/>
  <c r="M517" i="4"/>
  <c r="M88" i="4"/>
  <c r="M110" i="4"/>
  <c r="M343" i="4"/>
  <c r="M426" i="4"/>
  <c r="M93" i="4"/>
  <c r="M212" i="4"/>
  <c r="M80" i="4"/>
  <c r="M491" i="4"/>
  <c r="M113" i="4"/>
  <c r="M165" i="4"/>
  <c r="M516" i="4"/>
  <c r="M423" i="4"/>
  <c r="M258" i="4"/>
  <c r="M500" i="4"/>
  <c r="M272" i="4"/>
  <c r="M12" i="4"/>
  <c r="M349" i="4"/>
  <c r="M355" i="4"/>
  <c r="M63" i="4"/>
  <c r="M382" i="4"/>
  <c r="M494" i="4"/>
  <c r="M98" i="4"/>
  <c r="M467" i="4"/>
  <c r="M282" i="4"/>
  <c r="M225" i="4"/>
  <c r="M557" i="4"/>
  <c r="M182" i="4"/>
  <c r="M18" i="4"/>
  <c r="M81" i="4"/>
  <c r="M217" i="4"/>
  <c r="M407" i="4"/>
  <c r="M45" i="4"/>
  <c r="M458" i="4"/>
  <c r="M155" i="4"/>
  <c r="M379" i="4"/>
  <c r="M337" i="4"/>
  <c r="M72" i="4"/>
  <c r="M471" i="4"/>
  <c r="M10" i="4"/>
  <c r="M125" i="4"/>
  <c r="M39" i="4"/>
  <c r="M205" i="4"/>
  <c r="M360" i="4"/>
  <c r="M40" i="4"/>
  <c r="M490" i="4"/>
  <c r="M504" i="4"/>
  <c r="M143" i="4"/>
  <c r="M76" i="4"/>
  <c r="M189" i="4"/>
  <c r="M19" i="4"/>
  <c r="M443" i="4"/>
  <c r="M256" i="4"/>
  <c r="M466" i="4"/>
  <c r="M313" i="4"/>
  <c r="M566" i="4"/>
  <c r="M180" i="4"/>
  <c r="M241" i="4"/>
  <c r="M334" i="4"/>
  <c r="M424" i="4"/>
  <c r="M198" i="4"/>
  <c r="M142" i="4"/>
  <c r="M275" i="4"/>
  <c r="M233" i="4"/>
  <c r="M199" i="4"/>
  <c r="M406" i="4"/>
  <c r="M287" i="4"/>
  <c r="M14" i="4"/>
  <c r="M251" i="4"/>
  <c r="M7" i="4"/>
  <c r="M219" i="4"/>
  <c r="M194" i="4"/>
  <c r="M354" i="4"/>
  <c r="M91" i="4"/>
  <c r="M314" i="4"/>
  <c r="M488" i="4"/>
  <c r="M438" i="4"/>
  <c r="M107" i="4"/>
  <c r="M220" i="4"/>
  <c r="M542" i="4"/>
  <c r="M484" i="4"/>
  <c r="M141" i="4"/>
  <c r="M202" i="4"/>
  <c r="M195" i="4"/>
  <c r="M123" i="4"/>
  <c r="M159" i="4"/>
  <c r="M70" i="4"/>
  <c r="M28" i="4"/>
  <c r="M365" i="4"/>
  <c r="M134" i="4"/>
  <c r="M34" i="4"/>
  <c r="M469" i="4"/>
  <c r="M209" i="4"/>
  <c r="M240" i="4"/>
  <c r="M89" i="4"/>
  <c r="M564" i="4"/>
  <c r="M357" i="4"/>
  <c r="M131" i="4"/>
  <c r="M554" i="4"/>
  <c r="M534" i="4"/>
  <c r="M92" i="4"/>
  <c r="M101" i="4"/>
  <c r="M20" i="4"/>
  <c r="M369" i="4"/>
  <c r="M223" i="4"/>
  <c r="M444" i="4"/>
  <c r="M127" i="4"/>
  <c r="M420" i="4"/>
  <c r="M410" i="4"/>
  <c r="M399" i="4"/>
  <c r="M206" i="4"/>
  <c r="M464" i="4"/>
  <c r="M99" i="4"/>
  <c r="M257" i="4"/>
  <c r="M405" i="4"/>
  <c r="M496" i="4"/>
  <c r="M450" i="4"/>
  <c r="M523" i="4"/>
  <c r="M188" i="4"/>
  <c r="M139" i="4"/>
  <c r="M259" i="4"/>
  <c r="M175" i="4"/>
  <c r="M316" i="4"/>
  <c r="M146" i="4"/>
  <c r="M260" i="4"/>
  <c r="M100" i="4"/>
  <c r="M380" i="4"/>
  <c r="M530" i="4"/>
  <c r="M415" i="4"/>
  <c r="M521" i="4"/>
  <c r="M451" i="4"/>
  <c r="M238" i="4"/>
  <c r="M476" i="4"/>
  <c r="M90" i="4"/>
  <c r="M457" i="4"/>
  <c r="M325" i="4"/>
  <c r="M367" i="4"/>
  <c r="M421" i="4"/>
  <c r="M115" i="4"/>
  <c r="M114" i="4"/>
  <c r="M505" i="4"/>
  <c r="M160" i="4"/>
  <c r="M294" i="4"/>
  <c r="M434" i="4"/>
  <c r="M186" i="4"/>
  <c r="M366" i="4"/>
  <c r="M278" i="4"/>
  <c r="M473" i="4"/>
  <c r="M218" i="4"/>
  <c r="M342" i="4"/>
  <c r="M200" i="4"/>
  <c r="M197" i="4"/>
  <c r="M95" i="4"/>
  <c r="M172" i="4"/>
  <c r="M400" i="4"/>
  <c r="M243" i="4"/>
  <c r="M394" i="4"/>
  <c r="M567" i="4"/>
  <c r="M29" i="4"/>
  <c r="M185" i="4"/>
  <c r="M178" i="4"/>
  <c r="M177" i="4"/>
  <c r="M163" i="4"/>
  <c r="M36" i="4"/>
  <c r="M453" i="4"/>
  <c r="M351" i="4"/>
  <c r="M84" i="4"/>
  <c r="M94" i="4"/>
  <c r="M109" i="4"/>
  <c r="M96" i="4"/>
  <c r="M544" i="4"/>
  <c r="M376" i="4"/>
  <c r="M148" i="4"/>
  <c r="M489" i="4"/>
  <c r="M62" i="4"/>
  <c r="M317" i="4"/>
  <c r="M297" i="4"/>
  <c r="M9" i="4"/>
  <c r="M522" i="4"/>
  <c r="M555" i="4"/>
  <c r="M24" i="4"/>
  <c r="M531" i="4"/>
  <c r="M556" i="4"/>
  <c r="M459" i="4"/>
  <c r="M429" i="4"/>
  <c r="M436" i="4"/>
  <c r="M158" i="4"/>
  <c r="M502" i="4"/>
  <c r="M124" i="4"/>
  <c r="M540" i="4"/>
  <c r="M102" i="4"/>
  <c r="M242" i="4"/>
  <c r="M381" i="4"/>
  <c r="M235" i="4"/>
  <c r="M346" i="4"/>
  <c r="M283" i="4"/>
  <c r="M571" i="4"/>
  <c r="M543" i="4"/>
  <c r="M481" i="4"/>
  <c r="M435" i="4"/>
  <c r="M74" i="4"/>
  <c r="M166" i="4"/>
  <c r="M338" i="4"/>
  <c r="M422" i="4"/>
  <c r="M71" i="4"/>
  <c r="M59" i="4"/>
  <c r="M213" i="4"/>
  <c r="M302" i="4"/>
  <c r="M331" i="4"/>
  <c r="M418" i="4"/>
  <c r="M368" i="4"/>
  <c r="M470" i="4"/>
  <c r="M52" i="4"/>
  <c r="M147" i="4"/>
  <c r="M87" i="4"/>
  <c r="M41" i="4"/>
  <c r="M126" i="4"/>
  <c r="M561" i="4"/>
  <c r="M404" i="4"/>
  <c r="M306" i="4"/>
  <c r="M201" i="4"/>
  <c r="M281" i="4"/>
  <c r="M330" i="4"/>
  <c r="M335" i="4"/>
  <c r="M336" i="4"/>
  <c r="M550" i="4"/>
  <c r="M474" i="4"/>
  <c r="M42" i="4"/>
  <c r="M196" i="4"/>
  <c r="M149" i="4"/>
  <c r="M119" i="4"/>
  <c r="M224" i="4"/>
  <c r="M570" i="4"/>
  <c r="M104" i="4"/>
  <c r="M286" i="4"/>
  <c r="M171" i="4"/>
  <c r="M56" i="4"/>
  <c r="M370" i="4"/>
  <c r="M375" i="4"/>
  <c r="M138" i="4"/>
  <c r="M203" i="4"/>
  <c r="M427" i="4"/>
  <c r="M332" i="4"/>
  <c r="M428" i="4"/>
  <c r="M244" i="4"/>
  <c r="M527" i="4"/>
  <c r="M507" i="4"/>
  <c r="M55" i="4"/>
  <c r="M312" i="4"/>
  <c r="M545" i="4"/>
  <c r="M183" i="4"/>
  <c r="M211" i="4"/>
  <c r="M22" i="4"/>
  <c r="M167" i="4"/>
  <c r="M267" i="4"/>
  <c r="M549" i="4"/>
  <c r="M298" i="4"/>
  <c r="M391" i="4"/>
  <c r="M363" i="4"/>
  <c r="M452" i="4"/>
  <c r="M23" i="4"/>
  <c r="M112" i="4"/>
  <c r="M333" i="4"/>
  <c r="M503" i="4"/>
  <c r="M210" i="4"/>
  <c r="M82" i="4"/>
  <c r="M456" i="4"/>
  <c r="M6" i="4"/>
  <c r="M33" i="4"/>
  <c r="M326" i="4"/>
  <c r="M413" i="4"/>
  <c r="M465" i="4"/>
  <c r="M558" i="4"/>
  <c r="M412" i="4"/>
  <c r="M529" i="4"/>
  <c r="M264" i="4"/>
  <c r="M61" i="4"/>
  <c r="M133" i="4"/>
  <c r="M359" i="4"/>
  <c r="M345" i="4"/>
  <c r="M106" i="4"/>
  <c r="M526" i="4"/>
  <c r="M433" i="4"/>
  <c r="M329" i="4"/>
  <c r="M265" i="4"/>
  <c r="M26" i="4"/>
  <c r="M378" i="4"/>
  <c r="M38" i="4"/>
  <c r="M271" i="4"/>
  <c r="M157" i="4"/>
  <c r="M308" i="4"/>
  <c r="M461" i="4"/>
  <c r="M362" i="4"/>
  <c r="M563" i="4"/>
  <c r="M514" i="4"/>
  <c r="M66" i="4"/>
  <c r="M511" i="4"/>
  <c r="M228" i="4"/>
  <c r="M117" i="4"/>
  <c r="M385" i="4"/>
  <c r="M373" i="4"/>
  <c r="M397" i="4"/>
  <c r="M487" i="4"/>
  <c r="M192" i="4"/>
  <c r="M269" i="4"/>
  <c r="M3" i="4"/>
  <c r="M509" i="4"/>
  <c r="M446" i="4"/>
  <c r="M353" i="4"/>
  <c r="M31" i="4"/>
  <c r="M230" i="4"/>
  <c r="M483" i="4"/>
  <c r="M129" i="4"/>
  <c r="M390" i="4"/>
  <c r="M170" i="4"/>
  <c r="M319" i="4"/>
  <c r="M136" i="4"/>
  <c r="M305" i="4"/>
  <c r="M274" i="4"/>
  <c r="M162" i="4"/>
  <c r="M480" i="4"/>
  <c r="M291" i="4"/>
  <c r="M17" i="4"/>
  <c r="M533" i="4"/>
  <c r="M86" i="4"/>
  <c r="M310" i="4"/>
  <c r="M468" i="4"/>
  <c r="M216" i="4"/>
  <c r="M535" i="4"/>
  <c r="M440" i="4"/>
  <c r="M75" i="4"/>
  <c r="M348" i="4"/>
  <c r="M261" i="4"/>
  <c r="M441" i="4"/>
  <c r="M153" i="4"/>
  <c r="M252" i="4"/>
  <c r="M53" i="4"/>
  <c r="M311" i="4"/>
  <c r="M140" i="4"/>
  <c r="M403" i="4"/>
  <c r="M538" i="4"/>
  <c r="M315" i="4"/>
  <c r="M448" i="4"/>
  <c r="M152" i="4"/>
  <c r="M21" i="4"/>
  <c r="L324" i="4"/>
  <c r="L78" i="4"/>
  <c r="L164" i="4"/>
  <c r="L371" i="4"/>
  <c r="L35" i="4"/>
  <c r="L408" i="4"/>
  <c r="L47" i="4"/>
  <c r="L498" i="4"/>
  <c r="L411" i="4"/>
  <c r="L528" i="4"/>
  <c r="L262" i="4"/>
  <c r="L60" i="4"/>
  <c r="L132" i="4"/>
  <c r="L358" i="4"/>
  <c r="L344" i="4"/>
  <c r="L105" i="4"/>
  <c r="L525" i="4"/>
  <c r="L432" i="4"/>
  <c r="L328" i="4"/>
  <c r="L263" i="4"/>
  <c r="L25" i="4"/>
  <c r="L377" i="4"/>
  <c r="L37" i="4"/>
  <c r="L270" i="4"/>
  <c r="L156" i="4"/>
  <c r="L307" i="4"/>
  <c r="L460" i="4"/>
  <c r="L361" i="4"/>
  <c r="L562" i="4"/>
  <c r="L513" i="4"/>
  <c r="L65" i="4"/>
  <c r="L510" i="4"/>
  <c r="L227" i="4"/>
  <c r="L116" i="4"/>
  <c r="L384" i="4"/>
  <c r="L372" i="4"/>
  <c r="L396" i="4"/>
  <c r="L486" i="4"/>
  <c r="L191" i="4"/>
  <c r="L268" i="4"/>
  <c r="L2" i="4"/>
  <c r="L508" i="4"/>
  <c r="L445" i="4"/>
  <c r="L352" i="4"/>
  <c r="L30" i="4"/>
  <c r="L229" i="4"/>
  <c r="L482" i="4"/>
  <c r="L128" i="4"/>
  <c r="L389" i="4"/>
  <c r="L169" i="4"/>
  <c r="L318" i="4"/>
  <c r="L135" i="4"/>
  <c r="L304" i="4"/>
  <c r="L273" i="4"/>
  <c r="L161" i="4"/>
  <c r="L479" i="4"/>
  <c r="L290" i="4"/>
  <c r="L16" i="4"/>
  <c r="L532" i="4"/>
  <c r="L85" i="4"/>
  <c r="L309" i="4"/>
  <c r="L454" i="4"/>
  <c r="L27" i="4"/>
  <c r="L15" i="4"/>
  <c r="L493" i="4"/>
  <c r="L120" i="4"/>
  <c r="L392" i="4"/>
  <c r="L248" i="4"/>
  <c r="L83" i="4"/>
  <c r="L43" i="4"/>
  <c r="L462" i="4"/>
  <c r="L137" i="4"/>
  <c r="L168" i="4"/>
  <c r="L536" i="4"/>
  <c r="L387" i="4"/>
  <c r="L320" i="4"/>
  <c r="L447" i="4"/>
  <c r="L245" i="4"/>
  <c r="L151" i="4"/>
  <c r="L173" i="4"/>
  <c r="L44" i="4"/>
  <c r="L254" i="4"/>
  <c r="L430" i="4"/>
  <c r="L103" i="4"/>
  <c r="L32" i="4"/>
  <c r="L284" i="4"/>
  <c r="L388" i="4"/>
  <c r="L179" i="4"/>
  <c r="L539" i="4"/>
  <c r="L11" i="4"/>
  <c r="L296" i="4"/>
  <c r="L300" i="4"/>
  <c r="L449" i="4"/>
  <c r="L249" i="4"/>
  <c r="L285" i="4"/>
  <c r="L190" i="4"/>
  <c r="L207" i="4"/>
  <c r="L565" i="4"/>
  <c r="L551" i="4"/>
  <c r="L431" i="4"/>
  <c r="L253" i="4"/>
  <c r="L204" i="4"/>
  <c r="L512" i="4"/>
  <c r="L477" i="4"/>
  <c r="L568" i="4"/>
  <c r="L327" i="4"/>
  <c r="L288" i="4"/>
  <c r="L67" i="4"/>
  <c r="L69" i="4"/>
  <c r="L548" i="4"/>
  <c r="L350" i="4"/>
  <c r="L552" i="4"/>
  <c r="L515" i="4"/>
  <c r="L237" i="4"/>
  <c r="L214" i="4"/>
  <c r="L501" i="4"/>
  <c r="L323" i="4"/>
  <c r="L402" i="4"/>
  <c r="L79" i="4"/>
  <c r="L77" i="4"/>
  <c r="L293" i="4"/>
  <c r="L559" i="4"/>
  <c r="L393" i="4"/>
  <c r="L57" i="4"/>
  <c r="L193" i="4"/>
  <c r="L111" i="4"/>
  <c r="L546" i="4"/>
  <c r="L547" i="4"/>
  <c r="L49" i="4"/>
  <c r="L364" i="4"/>
  <c r="L13" i="4"/>
  <c r="L409" i="4"/>
  <c r="L506" i="4"/>
  <c r="L277" i="4"/>
  <c r="L519" i="4"/>
  <c r="L4" i="4"/>
  <c r="L222" i="4"/>
  <c r="L386" i="4"/>
  <c r="L276" i="4"/>
  <c r="L150" i="4"/>
  <c r="L247" i="4"/>
  <c r="L154" i="4"/>
  <c r="L221" i="4"/>
  <c r="L383" i="4"/>
  <c r="L321" i="4"/>
  <c r="L255" i="4"/>
  <c r="L108" i="4"/>
  <c r="L463" i="4"/>
  <c r="L295" i="4"/>
  <c r="L50" i="4"/>
  <c r="L215" i="4"/>
  <c r="L524" i="4"/>
  <c r="L232" i="4"/>
  <c r="L303" i="4"/>
  <c r="L145" i="4"/>
  <c r="L395" i="4"/>
  <c r="L495" i="4"/>
  <c r="L184" i="4"/>
  <c r="L439" i="4"/>
  <c r="L475" i="4"/>
  <c r="L226" i="4"/>
  <c r="L341" i="4"/>
  <c r="L181" i="4"/>
  <c r="L455" i="4"/>
  <c r="L174" i="4"/>
  <c r="L246" i="4"/>
  <c r="L58" i="4"/>
  <c r="L54" i="4"/>
  <c r="L97" i="4"/>
  <c r="L73" i="4"/>
  <c r="L347" i="4"/>
  <c r="L419" i="4"/>
  <c r="L442" i="4"/>
  <c r="L5" i="4"/>
  <c r="L520" i="4"/>
  <c r="L231" i="4"/>
  <c r="L176" i="4"/>
  <c r="L356" i="4"/>
  <c r="L478" i="4"/>
  <c r="L239" i="4"/>
  <c r="L553" i="4"/>
  <c r="L417" i="4"/>
  <c r="L208" i="4"/>
  <c r="L48" i="4"/>
  <c r="L292" i="4"/>
  <c r="L122" i="4"/>
  <c r="L374" i="4"/>
  <c r="L46" i="4"/>
  <c r="L51" i="4"/>
  <c r="L299" i="4"/>
  <c r="L130" i="4"/>
  <c r="L118" i="4"/>
  <c r="L289" i="4"/>
  <c r="L301" i="4"/>
  <c r="L322" i="4"/>
  <c r="L266" i="4"/>
  <c r="L492" i="4"/>
  <c r="L416" i="4"/>
  <c r="L569" i="4"/>
  <c r="L398" i="4"/>
  <c r="L187" i="4"/>
  <c r="L339" i="4"/>
  <c r="L234" i="4"/>
  <c r="L485" i="4"/>
  <c r="L518" i="4"/>
  <c r="L144" i="4"/>
  <c r="L121" i="4"/>
  <c r="L68" i="4"/>
  <c r="L541" i="4"/>
  <c r="L279" i="4"/>
  <c r="L517" i="4"/>
  <c r="L88" i="4"/>
  <c r="L110" i="4"/>
  <c r="L343" i="4"/>
  <c r="L426" i="4"/>
  <c r="L93" i="4"/>
  <c r="L212" i="4"/>
  <c r="L80" i="4"/>
  <c r="L491" i="4"/>
  <c r="L113" i="4"/>
  <c r="L165" i="4"/>
  <c r="L516" i="4"/>
  <c r="L423" i="4"/>
  <c r="L258" i="4"/>
  <c r="L500" i="4"/>
  <c r="L272" i="4"/>
  <c r="L12" i="4"/>
  <c r="L349" i="4"/>
  <c r="L355" i="4"/>
  <c r="L63" i="4"/>
  <c r="L382" i="4"/>
  <c r="L494" i="4"/>
  <c r="L98" i="4"/>
  <c r="L467" i="4"/>
  <c r="L282" i="4"/>
  <c r="L225" i="4"/>
  <c r="L557" i="4"/>
  <c r="L182" i="4"/>
  <c r="L18" i="4"/>
  <c r="L81" i="4"/>
  <c r="L217" i="4"/>
  <c r="L407" i="4"/>
  <c r="L45" i="4"/>
  <c r="L458" i="4"/>
  <c r="L155" i="4"/>
  <c r="L379" i="4"/>
  <c r="L337" i="4"/>
  <c r="L72" i="4"/>
  <c r="L471" i="4"/>
  <c r="L10" i="4"/>
  <c r="L125" i="4"/>
  <c r="L39" i="4"/>
  <c r="L205" i="4"/>
  <c r="L360" i="4"/>
  <c r="L40" i="4"/>
  <c r="L490" i="4"/>
  <c r="L504" i="4"/>
  <c r="L143" i="4"/>
  <c r="L76" i="4"/>
  <c r="L189" i="4"/>
  <c r="L19" i="4"/>
  <c r="L443" i="4"/>
  <c r="L256" i="4"/>
  <c r="L466" i="4"/>
  <c r="L313" i="4"/>
  <c r="L566" i="4"/>
  <c r="L180" i="4"/>
  <c r="L241" i="4"/>
  <c r="L334" i="4"/>
  <c r="L424" i="4"/>
  <c r="L198" i="4"/>
  <c r="L142" i="4"/>
  <c r="L275" i="4"/>
  <c r="L233" i="4"/>
  <c r="L199" i="4"/>
  <c r="L406" i="4"/>
  <c r="L287" i="4"/>
  <c r="L14" i="4"/>
  <c r="L251" i="4"/>
  <c r="L7" i="4"/>
  <c r="L219" i="4"/>
  <c r="L194" i="4"/>
  <c r="L354" i="4"/>
  <c r="L91" i="4"/>
  <c r="L314" i="4"/>
  <c r="L488" i="4"/>
  <c r="L438" i="4"/>
  <c r="L107" i="4"/>
  <c r="L220" i="4"/>
  <c r="L542" i="4"/>
  <c r="L484" i="4"/>
  <c r="L141" i="4"/>
  <c r="L202" i="4"/>
  <c r="L195" i="4"/>
  <c r="L123" i="4"/>
  <c r="L159" i="4"/>
  <c r="L70" i="4"/>
  <c r="L28" i="4"/>
  <c r="L365" i="4"/>
  <c r="L134" i="4"/>
  <c r="L34" i="4"/>
  <c r="L469" i="4"/>
  <c r="L209" i="4"/>
  <c r="L240" i="4"/>
  <c r="L89" i="4"/>
  <c r="L564" i="4"/>
  <c r="L357" i="4"/>
  <c r="L131" i="4"/>
  <c r="L554" i="4"/>
  <c r="L534" i="4"/>
  <c r="L92" i="4"/>
  <c r="L101" i="4"/>
  <c r="L20" i="4"/>
  <c r="L369" i="4"/>
  <c r="L223" i="4"/>
  <c r="L444" i="4"/>
  <c r="L127" i="4"/>
  <c r="L420" i="4"/>
  <c r="L410" i="4"/>
  <c r="L399" i="4"/>
  <c r="L206" i="4"/>
  <c r="L464" i="4"/>
  <c r="L99" i="4"/>
  <c r="L257" i="4"/>
  <c r="L405" i="4"/>
  <c r="L496" i="4"/>
  <c r="L450" i="4"/>
  <c r="L523" i="4"/>
  <c r="L188" i="4"/>
  <c r="L139" i="4"/>
  <c r="L259" i="4"/>
  <c r="L175" i="4"/>
  <c r="L316" i="4"/>
  <c r="L146" i="4"/>
  <c r="L260" i="4"/>
  <c r="L100" i="4"/>
  <c r="L380" i="4"/>
  <c r="L530" i="4"/>
  <c r="L415" i="4"/>
  <c r="L521" i="4"/>
  <c r="L451" i="4"/>
  <c r="L238" i="4"/>
  <c r="L476" i="4"/>
  <c r="L90" i="4"/>
  <c r="L457" i="4"/>
  <c r="L325" i="4"/>
  <c r="L367" i="4"/>
  <c r="L421" i="4"/>
  <c r="L115" i="4"/>
  <c r="L114" i="4"/>
  <c r="L505" i="4"/>
  <c r="L160" i="4"/>
  <c r="L294" i="4"/>
  <c r="L434" i="4"/>
  <c r="L186" i="4"/>
  <c r="L366" i="4"/>
  <c r="L278" i="4"/>
  <c r="L473" i="4"/>
  <c r="L218" i="4"/>
  <c r="L342" i="4"/>
  <c r="L200" i="4"/>
  <c r="L197" i="4"/>
  <c r="L95" i="4"/>
  <c r="L172" i="4"/>
  <c r="L400" i="4"/>
  <c r="L243" i="4"/>
  <c r="L394" i="4"/>
  <c r="L567" i="4"/>
  <c r="L29" i="4"/>
  <c r="L185" i="4"/>
  <c r="L178" i="4"/>
  <c r="L177" i="4"/>
  <c r="L163" i="4"/>
  <c r="L36" i="4"/>
  <c r="L453" i="4"/>
  <c r="L351" i="4"/>
  <c r="L84" i="4"/>
  <c r="L94" i="4"/>
  <c r="L109" i="4"/>
  <c r="L96" i="4"/>
  <c r="L544" i="4"/>
  <c r="L376" i="4"/>
  <c r="L148" i="4"/>
  <c r="L489" i="4"/>
  <c r="L62" i="4"/>
  <c r="L317" i="4"/>
  <c r="L297" i="4"/>
  <c r="L9" i="4"/>
  <c r="L522" i="4"/>
  <c r="L555" i="4"/>
  <c r="L24" i="4"/>
  <c r="L531" i="4"/>
  <c r="L556" i="4"/>
  <c r="L459" i="4"/>
  <c r="L429" i="4"/>
  <c r="L436" i="4"/>
  <c r="L158" i="4"/>
  <c r="L502" i="4"/>
  <c r="L124" i="4"/>
  <c r="L540" i="4"/>
  <c r="L102" i="4"/>
  <c r="L242" i="4"/>
  <c r="L381" i="4"/>
  <c r="L235" i="4"/>
  <c r="L346" i="4"/>
  <c r="L283" i="4"/>
  <c r="L571" i="4"/>
  <c r="L543" i="4"/>
  <c r="L481" i="4"/>
  <c r="L435" i="4"/>
  <c r="L74" i="4"/>
  <c r="L166" i="4"/>
  <c r="L338" i="4"/>
  <c r="L422" i="4"/>
  <c r="L71" i="4"/>
  <c r="L59" i="4"/>
  <c r="L213" i="4"/>
  <c r="L302" i="4"/>
  <c r="L331" i="4"/>
  <c r="L418" i="4"/>
  <c r="L368" i="4"/>
  <c r="L470" i="4"/>
  <c r="L52" i="4"/>
  <c r="L147" i="4"/>
  <c r="L87" i="4"/>
  <c r="L41" i="4"/>
  <c r="L126" i="4"/>
  <c r="L561" i="4"/>
  <c r="L404" i="4"/>
  <c r="L306" i="4"/>
  <c r="L201" i="4"/>
  <c r="L281" i="4"/>
  <c r="L330" i="4"/>
  <c r="L335" i="4"/>
  <c r="L336" i="4"/>
  <c r="L550" i="4"/>
  <c r="L474" i="4"/>
  <c r="L42" i="4"/>
  <c r="L196" i="4"/>
  <c r="L149" i="4"/>
  <c r="L119" i="4"/>
  <c r="L224" i="4"/>
  <c r="L570" i="4"/>
  <c r="L104" i="4"/>
  <c r="L286" i="4"/>
  <c r="L171" i="4"/>
  <c r="L56" i="4"/>
  <c r="L370" i="4"/>
  <c r="L375" i="4"/>
  <c r="L138" i="4"/>
  <c r="L203" i="4"/>
  <c r="L427" i="4"/>
  <c r="L332" i="4"/>
  <c r="L428" i="4"/>
  <c r="L244" i="4"/>
  <c r="L527" i="4"/>
  <c r="L507" i="4"/>
  <c r="L55" i="4"/>
  <c r="L312" i="4"/>
  <c r="L545" i="4"/>
  <c r="L183" i="4"/>
  <c r="L211" i="4"/>
  <c r="L22" i="4"/>
  <c r="L167" i="4"/>
  <c r="L267" i="4"/>
  <c r="L549" i="4"/>
  <c r="L298" i="4"/>
  <c r="L391" i="4"/>
  <c r="L363" i="4"/>
  <c r="L452" i="4"/>
  <c r="L23" i="4"/>
  <c r="L112" i="4"/>
  <c r="L333" i="4"/>
  <c r="L503" i="4"/>
  <c r="L210" i="4"/>
  <c r="L82" i="4"/>
  <c r="L456" i="4"/>
  <c r="L6" i="4"/>
  <c r="L33" i="4"/>
  <c r="L326" i="4"/>
  <c r="L413" i="4"/>
  <c r="L465" i="4"/>
  <c r="L558" i="4"/>
  <c r="L412" i="4"/>
  <c r="L529" i="4"/>
  <c r="L264" i="4"/>
  <c r="L61" i="4"/>
  <c r="L133" i="4"/>
  <c r="L359" i="4"/>
  <c r="L345" i="4"/>
  <c r="L106" i="4"/>
  <c r="L526" i="4"/>
  <c r="L433" i="4"/>
  <c r="L329" i="4"/>
  <c r="L265" i="4"/>
  <c r="L26" i="4"/>
  <c r="L378" i="4"/>
  <c r="L38" i="4"/>
  <c r="L271" i="4"/>
  <c r="L157" i="4"/>
  <c r="L308" i="4"/>
  <c r="L461" i="4"/>
  <c r="L362" i="4"/>
  <c r="L563" i="4"/>
  <c r="L514" i="4"/>
  <c r="L66" i="4"/>
  <c r="L511" i="4"/>
  <c r="L228" i="4"/>
  <c r="L117" i="4"/>
  <c r="L385" i="4"/>
  <c r="L373" i="4"/>
  <c r="L397" i="4"/>
  <c r="L487" i="4"/>
  <c r="L192" i="4"/>
  <c r="L269" i="4"/>
  <c r="L3" i="4"/>
  <c r="L509" i="4"/>
  <c r="L446" i="4"/>
  <c r="L353" i="4"/>
  <c r="L31" i="4"/>
  <c r="L230" i="4"/>
  <c r="L483" i="4"/>
  <c r="L129" i="4"/>
  <c r="L390" i="4"/>
  <c r="L170" i="4"/>
  <c r="L319" i="4"/>
  <c r="L136" i="4"/>
  <c r="L305" i="4"/>
  <c r="L274" i="4"/>
  <c r="L162" i="4"/>
  <c r="L480" i="4"/>
  <c r="L291" i="4"/>
  <c r="L17" i="4"/>
  <c r="L533" i="4"/>
  <c r="L86" i="4"/>
  <c r="L310" i="4"/>
  <c r="L468" i="4"/>
  <c r="L216" i="4"/>
  <c r="L535" i="4"/>
  <c r="L440" i="4"/>
  <c r="L75" i="4"/>
  <c r="L348" i="4"/>
  <c r="L261" i="4"/>
  <c r="L441" i="4"/>
  <c r="L153" i="4"/>
  <c r="L252" i="4"/>
  <c r="L53" i="4"/>
  <c r="L311" i="4"/>
  <c r="L140" i="4"/>
  <c r="L403" i="4"/>
  <c r="L538" i="4"/>
  <c r="L315" i="4"/>
  <c r="L448" i="4"/>
  <c r="L152" i="4"/>
  <c r="L21" i="4"/>
  <c r="K324" i="4"/>
  <c r="K78" i="4"/>
  <c r="K164" i="4"/>
  <c r="K371" i="4"/>
  <c r="K35" i="4"/>
  <c r="K408" i="4"/>
  <c r="K47" i="4"/>
  <c r="K498" i="4"/>
  <c r="K411" i="4"/>
  <c r="K528" i="4"/>
  <c r="K262" i="4"/>
  <c r="K60" i="4"/>
  <c r="K132" i="4"/>
  <c r="K358" i="4"/>
  <c r="K344" i="4"/>
  <c r="K105" i="4"/>
  <c r="K525" i="4"/>
  <c r="K432" i="4"/>
  <c r="K328" i="4"/>
  <c r="K263" i="4"/>
  <c r="K25" i="4"/>
  <c r="K377" i="4"/>
  <c r="K37" i="4"/>
  <c r="K270" i="4"/>
  <c r="K156" i="4"/>
  <c r="K307" i="4"/>
  <c r="K460" i="4"/>
  <c r="K361" i="4"/>
  <c r="K562" i="4"/>
  <c r="K513" i="4"/>
  <c r="K65" i="4"/>
  <c r="K510" i="4"/>
  <c r="K227" i="4"/>
  <c r="K116" i="4"/>
  <c r="K384" i="4"/>
  <c r="K372" i="4"/>
  <c r="K396" i="4"/>
  <c r="K486" i="4"/>
  <c r="K191" i="4"/>
  <c r="K268" i="4"/>
  <c r="K2" i="4"/>
  <c r="K508" i="4"/>
  <c r="K445" i="4"/>
  <c r="K352" i="4"/>
  <c r="K30" i="4"/>
  <c r="K229" i="4"/>
  <c r="K482" i="4"/>
  <c r="K128" i="4"/>
  <c r="K389" i="4"/>
  <c r="K169" i="4"/>
  <c r="K318" i="4"/>
  <c r="K135" i="4"/>
  <c r="K304" i="4"/>
  <c r="K273" i="4"/>
  <c r="K161" i="4"/>
  <c r="K479" i="4"/>
  <c r="K290" i="4"/>
  <c r="K16" i="4"/>
  <c r="K532" i="4"/>
  <c r="K85" i="4"/>
  <c r="K309" i="4"/>
  <c r="K454" i="4"/>
  <c r="K27" i="4"/>
  <c r="K15" i="4"/>
  <c r="K493" i="4"/>
  <c r="K120" i="4"/>
  <c r="K392" i="4"/>
  <c r="K248" i="4"/>
  <c r="K83" i="4"/>
  <c r="K43" i="4"/>
  <c r="K462" i="4"/>
  <c r="K137" i="4"/>
  <c r="K168" i="4"/>
  <c r="K536" i="4"/>
  <c r="K387" i="4"/>
  <c r="K320" i="4"/>
  <c r="K447" i="4"/>
  <c r="K245" i="4"/>
  <c r="K151" i="4"/>
  <c r="K173" i="4"/>
  <c r="K44" i="4"/>
  <c r="K254" i="4"/>
  <c r="K430" i="4"/>
  <c r="K103" i="4"/>
  <c r="K32" i="4"/>
  <c r="K284" i="4"/>
  <c r="K388" i="4"/>
  <c r="K179" i="4"/>
  <c r="K539" i="4"/>
  <c r="K11" i="4"/>
  <c r="K296" i="4"/>
  <c r="K300" i="4"/>
  <c r="K449" i="4"/>
  <c r="K249" i="4"/>
  <c r="K285" i="4"/>
  <c r="K190" i="4"/>
  <c r="K207" i="4"/>
  <c r="K565" i="4"/>
  <c r="K551" i="4"/>
  <c r="K431" i="4"/>
  <c r="K253" i="4"/>
  <c r="K204" i="4"/>
  <c r="K512" i="4"/>
  <c r="K477" i="4"/>
  <c r="K568" i="4"/>
  <c r="K327" i="4"/>
  <c r="K288" i="4"/>
  <c r="K67" i="4"/>
  <c r="K69" i="4"/>
  <c r="K548" i="4"/>
  <c r="K350" i="4"/>
  <c r="K552" i="4"/>
  <c r="K515" i="4"/>
  <c r="K237" i="4"/>
  <c r="K214" i="4"/>
  <c r="K501" i="4"/>
  <c r="K323" i="4"/>
  <c r="K402" i="4"/>
  <c r="K79" i="4"/>
  <c r="K77" i="4"/>
  <c r="K293" i="4"/>
  <c r="K559" i="4"/>
  <c r="K393" i="4"/>
  <c r="K57" i="4"/>
  <c r="K193" i="4"/>
  <c r="K111" i="4"/>
  <c r="K546" i="4"/>
  <c r="K547" i="4"/>
  <c r="K49" i="4"/>
  <c r="K364" i="4"/>
  <c r="K13" i="4"/>
  <c r="K409" i="4"/>
  <c r="K506" i="4"/>
  <c r="K277" i="4"/>
  <c r="K519" i="4"/>
  <c r="K4" i="4"/>
  <c r="K222" i="4"/>
  <c r="K386" i="4"/>
  <c r="K276" i="4"/>
  <c r="K150" i="4"/>
  <c r="K247" i="4"/>
  <c r="K154" i="4"/>
  <c r="K221" i="4"/>
  <c r="K383" i="4"/>
  <c r="K321" i="4"/>
  <c r="K255" i="4"/>
  <c r="K108" i="4"/>
  <c r="K463" i="4"/>
  <c r="K295" i="4"/>
  <c r="K50" i="4"/>
  <c r="K215" i="4"/>
  <c r="K524" i="4"/>
  <c r="K232" i="4"/>
  <c r="K303" i="4"/>
  <c r="K145" i="4"/>
  <c r="K395" i="4"/>
  <c r="K495" i="4"/>
  <c r="K184" i="4"/>
  <c r="K439" i="4"/>
  <c r="K475" i="4"/>
  <c r="K226" i="4"/>
  <c r="K341" i="4"/>
  <c r="K181" i="4"/>
  <c r="K455" i="4"/>
  <c r="K174" i="4"/>
  <c r="K246" i="4"/>
  <c r="K58" i="4"/>
  <c r="K54" i="4"/>
  <c r="K97" i="4"/>
  <c r="K73" i="4"/>
  <c r="K347" i="4"/>
  <c r="K419" i="4"/>
  <c r="K442" i="4"/>
  <c r="K5" i="4"/>
  <c r="K520" i="4"/>
  <c r="K231" i="4"/>
  <c r="K176" i="4"/>
  <c r="K356" i="4"/>
  <c r="K478" i="4"/>
  <c r="K239" i="4"/>
  <c r="K553" i="4"/>
  <c r="K417" i="4"/>
  <c r="K208" i="4"/>
  <c r="K48" i="4"/>
  <c r="K292" i="4"/>
  <c r="K122" i="4"/>
  <c r="K374" i="4"/>
  <c r="K46" i="4"/>
  <c r="K51" i="4"/>
  <c r="K299" i="4"/>
  <c r="K130" i="4"/>
  <c r="K118" i="4"/>
  <c r="K289" i="4"/>
  <c r="K301" i="4"/>
  <c r="K322" i="4"/>
  <c r="K266" i="4"/>
  <c r="K492" i="4"/>
  <c r="K416" i="4"/>
  <c r="K569" i="4"/>
  <c r="K398" i="4"/>
  <c r="K187" i="4"/>
  <c r="K339" i="4"/>
  <c r="K234" i="4"/>
  <c r="K485" i="4"/>
  <c r="K518" i="4"/>
  <c r="K144" i="4"/>
  <c r="K121" i="4"/>
  <c r="K68" i="4"/>
  <c r="K541" i="4"/>
  <c r="K279" i="4"/>
  <c r="K517" i="4"/>
  <c r="K88" i="4"/>
  <c r="K110" i="4"/>
  <c r="K343" i="4"/>
  <c r="K426" i="4"/>
  <c r="K93" i="4"/>
  <c r="K212" i="4"/>
  <c r="K80" i="4"/>
  <c r="K491" i="4"/>
  <c r="K113" i="4"/>
  <c r="K165" i="4"/>
  <c r="K516" i="4"/>
  <c r="K423" i="4"/>
  <c r="K258" i="4"/>
  <c r="K500" i="4"/>
  <c r="K272" i="4"/>
  <c r="K12" i="4"/>
  <c r="K349" i="4"/>
  <c r="K355" i="4"/>
  <c r="K63" i="4"/>
  <c r="K382" i="4"/>
  <c r="K494" i="4"/>
  <c r="K98" i="4"/>
  <c r="K467" i="4"/>
  <c r="K282" i="4"/>
  <c r="K225" i="4"/>
  <c r="K557" i="4"/>
  <c r="K182" i="4"/>
  <c r="K18" i="4"/>
  <c r="K81" i="4"/>
  <c r="K217" i="4"/>
  <c r="K407" i="4"/>
  <c r="K45" i="4"/>
  <c r="K458" i="4"/>
  <c r="K155" i="4"/>
  <c r="K379" i="4"/>
  <c r="K337" i="4"/>
  <c r="K72" i="4"/>
  <c r="K471" i="4"/>
  <c r="K10" i="4"/>
  <c r="K125" i="4"/>
  <c r="K39" i="4"/>
  <c r="K205" i="4"/>
  <c r="K360" i="4"/>
  <c r="K40" i="4"/>
  <c r="K490" i="4"/>
  <c r="K504" i="4"/>
  <c r="K143" i="4"/>
  <c r="K76" i="4"/>
  <c r="K189" i="4"/>
  <c r="K19" i="4"/>
  <c r="K443" i="4"/>
  <c r="K256" i="4"/>
  <c r="K466" i="4"/>
  <c r="K313" i="4"/>
  <c r="K566" i="4"/>
  <c r="K180" i="4"/>
  <c r="K241" i="4"/>
  <c r="K334" i="4"/>
  <c r="K424" i="4"/>
  <c r="K198" i="4"/>
  <c r="K142" i="4"/>
  <c r="K275" i="4"/>
  <c r="K233" i="4"/>
  <c r="K199" i="4"/>
  <c r="K406" i="4"/>
  <c r="K287" i="4"/>
  <c r="K14" i="4"/>
  <c r="K251" i="4"/>
  <c r="K7" i="4"/>
  <c r="K219" i="4"/>
  <c r="K194" i="4"/>
  <c r="K354" i="4"/>
  <c r="K91" i="4"/>
  <c r="K314" i="4"/>
  <c r="K488" i="4"/>
  <c r="K438" i="4"/>
  <c r="K107" i="4"/>
  <c r="K220" i="4"/>
  <c r="K542" i="4"/>
  <c r="K484" i="4"/>
  <c r="K141" i="4"/>
  <c r="K202" i="4"/>
  <c r="K195" i="4"/>
  <c r="K123" i="4"/>
  <c r="K159" i="4"/>
  <c r="K70" i="4"/>
  <c r="K28" i="4"/>
  <c r="K365" i="4"/>
  <c r="K134" i="4"/>
  <c r="K34" i="4"/>
  <c r="K469" i="4"/>
  <c r="K209" i="4"/>
  <c r="K240" i="4"/>
  <c r="K89" i="4"/>
  <c r="K564" i="4"/>
  <c r="K357" i="4"/>
  <c r="K131" i="4"/>
  <c r="K554" i="4"/>
  <c r="K534" i="4"/>
  <c r="K92" i="4"/>
  <c r="K101" i="4"/>
  <c r="K20" i="4"/>
  <c r="K369" i="4"/>
  <c r="K223" i="4"/>
  <c r="K444" i="4"/>
  <c r="K127" i="4"/>
  <c r="K420" i="4"/>
  <c r="K410" i="4"/>
  <c r="K399" i="4"/>
  <c r="K206" i="4"/>
  <c r="K464" i="4"/>
  <c r="K99" i="4"/>
  <c r="K257" i="4"/>
  <c r="K405" i="4"/>
  <c r="K496" i="4"/>
  <c r="K450" i="4"/>
  <c r="K523" i="4"/>
  <c r="K188" i="4"/>
  <c r="K139" i="4"/>
  <c r="K259" i="4"/>
  <c r="K175" i="4"/>
  <c r="K316" i="4"/>
  <c r="K146" i="4"/>
  <c r="K260" i="4"/>
  <c r="K100" i="4"/>
  <c r="K380" i="4"/>
  <c r="K530" i="4"/>
  <c r="K415" i="4"/>
  <c r="K521" i="4"/>
  <c r="K451" i="4"/>
  <c r="K238" i="4"/>
  <c r="K476" i="4"/>
  <c r="K90" i="4"/>
  <c r="K457" i="4"/>
  <c r="K325" i="4"/>
  <c r="K367" i="4"/>
  <c r="K421" i="4"/>
  <c r="K115" i="4"/>
  <c r="K114" i="4"/>
  <c r="K505" i="4"/>
  <c r="K160" i="4"/>
  <c r="K294" i="4"/>
  <c r="K434" i="4"/>
  <c r="K186" i="4"/>
  <c r="K366" i="4"/>
  <c r="K278" i="4"/>
  <c r="K473" i="4"/>
  <c r="K218" i="4"/>
  <c r="K342" i="4"/>
  <c r="K200" i="4"/>
  <c r="K197" i="4"/>
  <c r="K95" i="4"/>
  <c r="K172" i="4"/>
  <c r="K400" i="4"/>
  <c r="K243" i="4"/>
  <c r="K394" i="4"/>
  <c r="K567" i="4"/>
  <c r="K29" i="4"/>
  <c r="K185" i="4"/>
  <c r="K178" i="4"/>
  <c r="K177" i="4"/>
  <c r="K163" i="4"/>
  <c r="K36" i="4"/>
  <c r="K453" i="4"/>
  <c r="K351" i="4"/>
  <c r="K84" i="4"/>
  <c r="K94" i="4"/>
  <c r="K109" i="4"/>
  <c r="K96" i="4"/>
  <c r="K544" i="4"/>
  <c r="K376" i="4"/>
  <c r="K148" i="4"/>
  <c r="K489" i="4"/>
  <c r="K62" i="4"/>
  <c r="K317" i="4"/>
  <c r="K297" i="4"/>
  <c r="K9" i="4"/>
  <c r="K522" i="4"/>
  <c r="K555" i="4"/>
  <c r="K24" i="4"/>
  <c r="K531" i="4"/>
  <c r="K556" i="4"/>
  <c r="K459" i="4"/>
  <c r="K429" i="4"/>
  <c r="K436" i="4"/>
  <c r="K158" i="4"/>
  <c r="K502" i="4"/>
  <c r="K124" i="4"/>
  <c r="K540" i="4"/>
  <c r="K102" i="4"/>
  <c r="K242" i="4"/>
  <c r="K381" i="4"/>
  <c r="K235" i="4"/>
  <c r="K346" i="4"/>
  <c r="K283" i="4"/>
  <c r="K571" i="4"/>
  <c r="K543" i="4"/>
  <c r="K481" i="4"/>
  <c r="K435" i="4"/>
  <c r="K74" i="4"/>
  <c r="K166" i="4"/>
  <c r="K338" i="4"/>
  <c r="K422" i="4"/>
  <c r="K71" i="4"/>
  <c r="K59" i="4"/>
  <c r="K213" i="4"/>
  <c r="K302" i="4"/>
  <c r="K331" i="4"/>
  <c r="K418" i="4"/>
  <c r="K368" i="4"/>
  <c r="K470" i="4"/>
  <c r="K52" i="4"/>
  <c r="K147" i="4"/>
  <c r="K87" i="4"/>
  <c r="K41" i="4"/>
  <c r="K126" i="4"/>
  <c r="K561" i="4"/>
  <c r="K404" i="4"/>
  <c r="K306" i="4"/>
  <c r="K201" i="4"/>
  <c r="K281" i="4"/>
  <c r="K330" i="4"/>
  <c r="K335" i="4"/>
  <c r="K336" i="4"/>
  <c r="K550" i="4"/>
  <c r="K474" i="4"/>
  <c r="K42" i="4"/>
  <c r="K196" i="4"/>
  <c r="K149" i="4"/>
  <c r="K119" i="4"/>
  <c r="K224" i="4"/>
  <c r="K570" i="4"/>
  <c r="K104" i="4"/>
  <c r="K286" i="4"/>
  <c r="K171" i="4"/>
  <c r="K56" i="4"/>
  <c r="K370" i="4"/>
  <c r="K375" i="4"/>
  <c r="K138" i="4"/>
  <c r="K203" i="4"/>
  <c r="K427" i="4"/>
  <c r="K332" i="4"/>
  <c r="K428" i="4"/>
  <c r="K244" i="4"/>
  <c r="K527" i="4"/>
  <c r="K507" i="4"/>
  <c r="K55" i="4"/>
  <c r="K312" i="4"/>
  <c r="K545" i="4"/>
  <c r="K183" i="4"/>
  <c r="K211" i="4"/>
  <c r="K22" i="4"/>
  <c r="K167" i="4"/>
  <c r="K267" i="4"/>
  <c r="K549" i="4"/>
  <c r="K298" i="4"/>
  <c r="K391" i="4"/>
  <c r="K363" i="4"/>
  <c r="K452" i="4"/>
  <c r="K23" i="4"/>
  <c r="K112" i="4"/>
  <c r="K333" i="4"/>
  <c r="K503" i="4"/>
  <c r="K210" i="4"/>
  <c r="K82" i="4"/>
  <c r="K456" i="4"/>
  <c r="K6" i="4"/>
  <c r="K33" i="4"/>
  <c r="K326" i="4"/>
  <c r="K413" i="4"/>
  <c r="K465" i="4"/>
  <c r="K558" i="4"/>
  <c r="K412" i="4"/>
  <c r="K529" i="4"/>
  <c r="K264" i="4"/>
  <c r="K61" i="4"/>
  <c r="K133" i="4"/>
  <c r="K359" i="4"/>
  <c r="K345" i="4"/>
  <c r="K106" i="4"/>
  <c r="K526" i="4"/>
  <c r="K433" i="4"/>
  <c r="K329" i="4"/>
  <c r="K265" i="4"/>
  <c r="K26" i="4"/>
  <c r="K378" i="4"/>
  <c r="K38" i="4"/>
  <c r="K271" i="4"/>
  <c r="K157" i="4"/>
  <c r="K308" i="4"/>
  <c r="K461" i="4"/>
  <c r="K362" i="4"/>
  <c r="K563" i="4"/>
  <c r="K514" i="4"/>
  <c r="K66" i="4"/>
  <c r="K511" i="4"/>
  <c r="K228" i="4"/>
  <c r="K117" i="4"/>
  <c r="K385" i="4"/>
  <c r="K373" i="4"/>
  <c r="K397" i="4"/>
  <c r="K487" i="4"/>
  <c r="K192" i="4"/>
  <c r="K269" i="4"/>
  <c r="K3" i="4"/>
  <c r="K509" i="4"/>
  <c r="K446" i="4"/>
  <c r="K353" i="4"/>
  <c r="K31" i="4"/>
  <c r="K230" i="4"/>
  <c r="K483" i="4"/>
  <c r="K129" i="4"/>
  <c r="K390" i="4"/>
  <c r="K170" i="4"/>
  <c r="K319" i="4"/>
  <c r="K136" i="4"/>
  <c r="K305" i="4"/>
  <c r="K274" i="4"/>
  <c r="K162" i="4"/>
  <c r="K480" i="4"/>
  <c r="K291" i="4"/>
  <c r="K17" i="4"/>
  <c r="K533" i="4"/>
  <c r="K86" i="4"/>
  <c r="K310" i="4"/>
  <c r="K468" i="4"/>
  <c r="K216" i="4"/>
  <c r="K535" i="4"/>
  <c r="K440" i="4"/>
  <c r="K75" i="4"/>
  <c r="K348" i="4"/>
  <c r="K261" i="4"/>
  <c r="K441" i="4"/>
  <c r="K153" i="4"/>
  <c r="K252" i="4"/>
  <c r="K53" i="4"/>
  <c r="K311" i="4"/>
  <c r="K140" i="4"/>
  <c r="K403" i="4"/>
  <c r="K538" i="4"/>
  <c r="K315" i="4"/>
  <c r="K448" i="4"/>
  <c r="K152" i="4"/>
  <c r="K21" i="4"/>
  <c r="C7" i="9"/>
  <c r="A7" i="9"/>
  <c r="B7" i="9"/>
  <c r="A6" i="9"/>
  <c r="F13" i="9"/>
  <c r="B6" i="9"/>
  <c r="F12" i="9"/>
  <c r="C6" i="9"/>
  <c r="F6" i="9"/>
  <c r="D48" i="9" l="1"/>
  <c r="E48" i="9"/>
  <c r="G39" i="9"/>
  <c r="D43" i="9"/>
  <c r="E43" i="9"/>
  <c r="F38" i="9"/>
  <c r="C38" i="9"/>
  <c r="G12" i="9"/>
  <c r="J13" i="9"/>
  <c r="J12" i="9"/>
  <c r="G13" i="9"/>
  <c r="G43" i="9" l="1"/>
  <c r="G44" i="9" s="1"/>
  <c r="G48" i="9"/>
  <c r="G49" i="9" s="1"/>
  <c r="F48" i="9"/>
  <c r="F43" i="9"/>
</calcChain>
</file>

<file path=xl/sharedStrings.xml><?xml version="1.0" encoding="utf-8"?>
<sst xmlns="http://schemas.openxmlformats.org/spreadsheetml/2006/main" count="3743" uniqueCount="672">
  <si>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</si>
  <si>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</si>
  <si>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</si>
  <si>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</si>
  <si>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</si>
  <si>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</si>
  <si>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</si>
  <si>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</si>
  <si>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</si>
  <si>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</si>
  <si>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</si>
  <si>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</si>
  <si>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</si>
  <si>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</si>
  <si>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</si>
  <si>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</si>
  <si>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</si>
  <si>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</si>
  <si>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</si>
  <si>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</si>
  <si>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</si>
  <si>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</si>
  <si>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</si>
  <si>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</si>
  <si>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</si>
  <si>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</si>
  <si>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</si>
  <si>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</si>
  <si>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</si>
  <si>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</si>
  <si>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</si>
  <si>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</si>
  <si>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</si>
  <si>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</si>
  <si>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</si>
  <si>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</si>
  <si>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</si>
  <si>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</si>
  <si>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</si>
  <si>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</si>
  <si>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</si>
  <si>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</si>
  <si>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</si>
  <si>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</si>
  <si>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</si>
  <si>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</si>
  <si>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</si>
  <si>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</si>
  <si>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</si>
  <si>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</si>
  <si>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</si>
  <si>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</si>
  <si>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</si>
  <si>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</si>
  <si>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</si>
  <si>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</si>
  <si>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</si>
  <si>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</si>
  <si>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</si>
  <si>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</si>
  <si>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</si>
  <si>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</si>
  <si>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</si>
  <si>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</si>
  <si>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</si>
  <si>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</si>
  <si>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</si>
  <si>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</si>
  <si>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</si>
  <si>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</si>
  <si>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</si>
  <si>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</si>
  <si>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</si>
  <si>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</si>
  <si>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</si>
  <si>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</si>
  <si>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</si>
  <si>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</si>
  <si>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</si>
  <si>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</si>
  <si>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</si>
  <si>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</si>
  <si>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</si>
  <si>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</si>
  <si>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</si>
  <si>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</si>
  <si>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</si>
  <si>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</si>
  <si>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</si>
  <si>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</si>
  <si>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</si>
  <si>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</si>
  <si>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</si>
  <si>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</si>
  <si>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</si>
  <si>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</si>
  <si>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</si>
  <si>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</si>
  <si>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</si>
  <si>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</si>
  <si>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</si>
  <si>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</si>
  <si>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</si>
  <si>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</si>
  <si>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</si>
  <si>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</si>
  <si>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</si>
  <si>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</si>
  <si>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</si>
  <si>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</si>
  <si>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</si>
  <si>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</si>
  <si>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</si>
  <si>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</si>
  <si>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</si>
  <si>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</si>
  <si>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</si>
  <si>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</si>
  <si>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</si>
  <si>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</si>
  <si>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</si>
  <si>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</si>
  <si>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</si>
  <si>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</si>
  <si>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</si>
  <si>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</si>
  <si>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</si>
  <si>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</si>
  <si>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</si>
  <si>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</si>
  <si>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</si>
  <si>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</si>
  <si>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</si>
  <si>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</si>
  <si>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</si>
  <si>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</si>
  <si>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</si>
  <si>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</si>
  <si>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</si>
  <si>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</si>
  <si>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</si>
  <si>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</si>
  <si>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</si>
  <si>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</si>
  <si>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</si>
  <si>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</si>
  <si>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</si>
  <si>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</si>
  <si>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</si>
  <si>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</si>
  <si>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</si>
  <si>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</si>
  <si>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</si>
  <si>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</si>
  <si>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</si>
  <si>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</si>
  <si>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</si>
  <si>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</si>
  <si>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</si>
  <si>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</si>
  <si>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</si>
  <si>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</si>
  <si>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</si>
  <si>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</si>
  <si>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</si>
  <si>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</si>
  <si>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</si>
  <si>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</si>
  <si>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</si>
  <si>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</si>
  <si>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</si>
  <si>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</si>
  <si>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</si>
  <si>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</si>
  <si>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</si>
  <si>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</si>
  <si>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</si>
  <si>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</si>
  <si>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</si>
  <si>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</si>
  <si>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</si>
  <si>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</si>
  <si>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</si>
  <si>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</si>
  <si>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</si>
  <si>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</si>
  <si>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</si>
  <si>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</si>
  <si>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</si>
  <si>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</si>
  <si>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</si>
  <si>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</si>
  <si>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</si>
  <si>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</si>
  <si>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</si>
  <si>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</si>
  <si>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</si>
  <si>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</si>
  <si>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</si>
  <si>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</si>
  <si>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</si>
  <si>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</si>
  <si>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</si>
  <si>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</si>
  <si>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</si>
  <si>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</si>
  <si>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</si>
  <si>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</si>
  <si>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</si>
  <si>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</si>
  <si>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</si>
  <si>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</si>
  <si>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</si>
  <si>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</si>
  <si>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</si>
  <si>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</si>
  <si>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</si>
  <si>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</si>
  <si>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</si>
  <si>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</si>
  <si>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</si>
  <si>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</si>
  <si>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</si>
  <si>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</si>
  <si>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</si>
  <si>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</si>
  <si>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</si>
  <si>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</si>
  <si>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</si>
  <si>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</si>
  <si>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</si>
  <si>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</si>
  <si>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</si>
  <si>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</si>
  <si>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</si>
  <si>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</si>
  <si>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</si>
  <si>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</si>
  <si>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</si>
  <si>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</si>
  <si>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</si>
  <si>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</si>
  <si>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</si>
  <si>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</si>
  <si>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</si>
  <si>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</si>
  <si>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</si>
  <si>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</si>
  <si>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</si>
  <si>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</si>
  <si>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</si>
  <si>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</si>
  <si>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</si>
  <si>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</si>
  <si>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</si>
  <si>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</si>
  <si>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</si>
  <si>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</si>
  <si>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</si>
  <si>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</si>
  <si>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</si>
  <si>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</si>
  <si>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</si>
  <si>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</si>
  <si>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</si>
  <si>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</si>
  <si>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</si>
  <si>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</si>
  <si>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</si>
  <si>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</si>
  <si>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</si>
  <si>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</si>
  <si>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</si>
  <si>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</si>
  <si>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</si>
  <si>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</si>
  <si>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</si>
  <si>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</si>
  <si>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</si>
  <si>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</si>
  <si>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</si>
  <si>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</si>
  <si>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</si>
  <si>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</si>
  <si>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</si>
  <si>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</si>
  <si>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</si>
  <si>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</si>
  <si>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</si>
  <si>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</si>
  <si>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</si>
  <si>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</si>
  <si>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</si>
  <si>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</si>
  <si>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</si>
  <si>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</si>
  <si>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</si>
  <si>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</si>
  <si>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</si>
  <si>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</si>
  <si>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</si>
  <si>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</si>
  <si>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</si>
  <si>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</si>
  <si>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</si>
  <si>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</si>
  <si>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</si>
  <si>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</si>
  <si>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</si>
  <si>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</si>
  <si>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</si>
  <si>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</si>
  <si>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</si>
  <si>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</si>
  <si>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</si>
  <si>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</si>
  <si>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</si>
  <si>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</si>
  <si>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</si>
  <si>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</si>
  <si>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</si>
  <si>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</si>
  <si>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</si>
  <si>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</si>
  <si>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</si>
  <si>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</si>
  <si>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</si>
  <si>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</si>
  <si>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</si>
  <si>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</si>
  <si>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</si>
  <si>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</si>
  <si>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</si>
  <si>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</si>
  <si>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</si>
  <si>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</si>
  <si>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</si>
  <si>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</si>
  <si>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</si>
  <si>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</si>
  <si>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</si>
  <si>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</si>
  <si>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</si>
  <si>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</si>
  <si>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</si>
  <si>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</si>
  <si>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</si>
  <si>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</si>
  <si>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</si>
  <si>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</si>
  <si>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</si>
  <si>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</si>
  <si>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</si>
  <si>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</si>
  <si>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</si>
  <si>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</si>
  <si>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</si>
  <si>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</si>
  <si>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</si>
  <si>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</si>
  <si>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</si>
  <si>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</si>
  <si>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</si>
  <si>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</si>
  <si>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</si>
  <si>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</si>
  <si>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</si>
  <si>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</si>
  <si>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</si>
  <si>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</si>
  <si>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</si>
  <si>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</si>
  <si>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</si>
  <si>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</si>
  <si>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</si>
  <si>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</si>
  <si>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</si>
  <si>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</si>
  <si>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</si>
  <si>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</si>
  <si>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</si>
  <si>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</si>
  <si>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</si>
  <si>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</si>
  <si>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</si>
  <si>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</si>
  <si>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</si>
  <si>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</si>
  <si>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</si>
  <si>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</si>
  <si>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</si>
  <si>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</si>
  <si>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</si>
  <si>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</si>
  <si>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</si>
  <si>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</si>
  <si>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</si>
  <si>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</si>
  <si>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</si>
  <si>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</si>
  <si>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</si>
  <si>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</si>
  <si>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</si>
  <si>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</si>
  <si>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</si>
  <si>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</si>
  <si>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</si>
  <si>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</si>
  <si>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</si>
  <si>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</si>
  <si>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</si>
  <si>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</si>
  <si>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</si>
  <si>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</si>
  <si>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</si>
  <si>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</si>
  <si>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</si>
  <si>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</si>
  <si>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</si>
  <si>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</si>
  <si>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</si>
  <si>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</si>
  <si>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</si>
  <si>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</si>
  <si>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</si>
  <si>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</si>
  <si>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</si>
  <si>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</si>
  <si>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</si>
  <si>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</si>
  <si>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</si>
  <si>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</si>
  <si>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</si>
  <si>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</si>
  <si>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</si>
  <si>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</si>
  <si>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</si>
  <si>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</si>
  <si>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</si>
  <si>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</si>
  <si>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</si>
  <si>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</si>
  <si>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</si>
  <si>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</si>
  <si>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</si>
  <si>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</si>
  <si>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</si>
  <si>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</si>
  <si>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</si>
  <si>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</si>
  <si>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</si>
  <si>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</si>
  <si>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</si>
  <si>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</si>
  <si>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</si>
  <si>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</si>
  <si>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</si>
  <si>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</si>
  <si>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</si>
  <si>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</si>
  <si>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</si>
  <si>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</si>
  <si>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</si>
  <si>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</si>
  <si>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</si>
  <si>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</si>
  <si>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</si>
  <si>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</si>
  <si>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</si>
  <si>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</si>
  <si>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</si>
  <si>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</si>
  <si>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</si>
  <si>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</si>
  <si>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</si>
  <si>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</si>
  <si>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</si>
  <si>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</si>
  <si>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</si>
  <si>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</si>
  <si>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</si>
  <si>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</si>
  <si>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</si>
  <si>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</si>
  <si>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</si>
  <si>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</si>
  <si>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</si>
  <si>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</si>
  <si>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</si>
  <si>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</si>
  <si>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</si>
  <si>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</si>
  <si>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</si>
  <si>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</si>
  <si>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</si>
  <si>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</si>
  <si>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</si>
  <si>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</si>
  <si>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</si>
  <si>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</si>
  <si>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</si>
  <si>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</si>
  <si>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</si>
  <si>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</si>
  <si>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</si>
  <si>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</si>
  <si>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</si>
  <si>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</si>
  <si>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</si>
  <si>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</si>
  <si>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</si>
  <si>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</si>
  <si>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</si>
  <si>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</si>
  <si>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</si>
  <si>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</si>
  <si>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</si>
  <si>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</si>
  <si>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</si>
  <si>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</si>
  <si>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</si>
  <si>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</si>
  <si>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</si>
  <si>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</si>
  <si>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</si>
  <si>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</si>
  <si>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</si>
  <si>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</si>
  <si>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</si>
  <si>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</si>
  <si>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</si>
  <si>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</si>
  <si>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</si>
  <si>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</si>
  <si>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</si>
  <si>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</si>
  <si>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</si>
  <si>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</si>
  <si>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</si>
  <si>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</si>
  <si>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</si>
  <si>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</si>
  <si>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</si>
  <si>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</si>
  <si>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</si>
  <si>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</si>
  <si>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</si>
  <si>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</si>
  <si>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</si>
  <si>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</si>
  <si>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</si>
  <si>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</si>
  <si>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</si>
  <si>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Year</t>
  </si>
  <si>
    <t>Month</t>
  </si>
  <si>
    <t>Day</t>
  </si>
  <si>
    <t>Delivery Time</t>
  </si>
  <si>
    <t>Total Cost</t>
  </si>
  <si>
    <t>Sales Revenue</t>
  </si>
  <si>
    <t>Net Profit</t>
  </si>
  <si>
    <t>t Critical two-tail</t>
  </si>
  <si>
    <t>P(T&lt;=t) two-tail</t>
  </si>
  <si>
    <t>t Critical one-tail</t>
  </si>
  <si>
    <t>P(T&lt;=t) one-tail</t>
  </si>
  <si>
    <t>t Stat</t>
  </si>
  <si>
    <t>df</t>
  </si>
  <si>
    <t>Hypothesized Mean Difference</t>
  </si>
  <si>
    <t>Observations</t>
  </si>
  <si>
    <t>Variance</t>
  </si>
  <si>
    <t>Mean</t>
  </si>
  <si>
    <t>t-Test: Two-Sample Assuming Unequal Variances</t>
  </si>
  <si>
    <t>1) Monitor order that are taking more than 7 days to delivery as they are at a higher risk of being returned</t>
  </si>
  <si>
    <t>Recommendations</t>
  </si>
  <si>
    <t>Order that end up being returned take an average of 2 days longer</t>
  </si>
  <si>
    <t>Conclusion</t>
  </si>
  <si>
    <t>order with longer delivery time are likely to return</t>
  </si>
  <si>
    <t>Alternative Hypothesis (H1)</t>
  </si>
  <si>
    <t>2) There is a statistically significant reletion between delivery time and order status</t>
  </si>
  <si>
    <t>1) Since the P-value is much smaller than 0.05, we reject the H0 hypothesis</t>
  </si>
  <si>
    <t>Delivery time does not influence wether an order is returned.</t>
  </si>
  <si>
    <t>Interpretion</t>
  </si>
  <si>
    <t>Null Hypothesis (H0)</t>
  </si>
  <si>
    <t>wether there is relaation between delivery time and status(completed,returned)</t>
  </si>
  <si>
    <t>Scenario</t>
  </si>
  <si>
    <t>T-Test</t>
  </si>
  <si>
    <t>Count</t>
  </si>
  <si>
    <t>Sum</t>
  </si>
  <si>
    <t>Maximum</t>
  </si>
  <si>
    <t>Minimum</t>
  </si>
  <si>
    <t>Range</t>
  </si>
  <si>
    <t>Skewness</t>
  </si>
  <si>
    <t>Kurtosis</t>
  </si>
  <si>
    <t>Sample Variance</t>
  </si>
  <si>
    <t>Standard Deviation</t>
  </si>
  <si>
    <t>Mode</t>
  </si>
  <si>
    <t>Median</t>
  </si>
  <si>
    <t>Standard Error</t>
  </si>
  <si>
    <t>Descriptive Analysis</t>
  </si>
  <si>
    <t>Payment Method :</t>
  </si>
  <si>
    <t>Delivered Date :</t>
  </si>
  <si>
    <t>Country :</t>
  </si>
  <si>
    <t>Order Date :</t>
  </si>
  <si>
    <t>Status :</t>
  </si>
  <si>
    <t>Product Name :</t>
  </si>
  <si>
    <t>Unit Price :</t>
  </si>
  <si>
    <t>Product Category :</t>
  </si>
  <si>
    <t>Quantity :</t>
  </si>
  <si>
    <t>Customer Name :</t>
  </si>
  <si>
    <t>Sales Form</t>
  </si>
  <si>
    <t>jenny benny</t>
  </si>
  <si>
    <t>penny half</t>
  </si>
  <si>
    <t>shanon hoe</t>
  </si>
  <si>
    <t>kareem abdul</t>
  </si>
  <si>
    <t>Ronda miles</t>
  </si>
  <si>
    <t>Raheem Bheek</t>
  </si>
  <si>
    <t>Akbar Amen</t>
  </si>
  <si>
    <t>Bakbar bore</t>
  </si>
  <si>
    <t>Sum of Total Cost</t>
  </si>
  <si>
    <t>Sum of Sales Revenue</t>
  </si>
  <si>
    <t>Sum of Net Profit</t>
  </si>
  <si>
    <t>(All)</t>
  </si>
  <si>
    <t>Count of Customer Name</t>
  </si>
  <si>
    <t>Row Labels</t>
  </si>
  <si>
    <t>Grand Total</t>
  </si>
  <si>
    <t>Other</t>
  </si>
  <si>
    <t>Percentage%</t>
  </si>
  <si>
    <t>Aug</t>
  </si>
  <si>
    <t>Wed</t>
  </si>
  <si>
    <t>May</t>
  </si>
  <si>
    <t>Thu</t>
  </si>
  <si>
    <t>Jun</t>
  </si>
  <si>
    <t>Nov</t>
  </si>
  <si>
    <t>Sun</t>
  </si>
  <si>
    <t>Oct</t>
  </si>
  <si>
    <t>Apr</t>
  </si>
  <si>
    <t>Mon</t>
  </si>
  <si>
    <t>Tue</t>
  </si>
  <si>
    <t>Jan</t>
  </si>
  <si>
    <t>Sat</t>
  </si>
  <si>
    <t>Jul</t>
  </si>
  <si>
    <t>Dec</t>
  </si>
  <si>
    <t>Sep</t>
  </si>
  <si>
    <t>Mar</t>
  </si>
  <si>
    <t>Fri</t>
  </si>
  <si>
    <t>Feb</t>
  </si>
  <si>
    <t>Previous Month</t>
  </si>
  <si>
    <t>Current Revenue</t>
  </si>
  <si>
    <t>Previous Revenue</t>
  </si>
  <si>
    <t xml:space="preserve"> </t>
  </si>
  <si>
    <t>Value Difference</t>
  </si>
  <si>
    <t>Percentage Difference</t>
  </si>
  <si>
    <t>Cost</t>
  </si>
  <si>
    <t>current Cost</t>
  </si>
  <si>
    <t>Previous Cost</t>
  </si>
  <si>
    <t>Value difference</t>
  </si>
  <si>
    <t>percentage Differnce</t>
  </si>
  <si>
    <t>Profit</t>
  </si>
  <si>
    <t>Current Profit</t>
  </si>
  <si>
    <t>Previous Profit</t>
  </si>
  <si>
    <t>Valuue difference</t>
  </si>
  <si>
    <t>Precentage Difference</t>
  </si>
  <si>
    <t>Test</t>
  </si>
  <si>
    <t>vibhuti</t>
  </si>
  <si>
    <t>long neck</t>
  </si>
  <si>
    <t>paratha</t>
  </si>
  <si>
    <t>sehgal</t>
  </si>
  <si>
    <t xml:space="preserve"> Total Cost</t>
  </si>
  <si>
    <t xml:space="preserve"> Sales Revenue</t>
  </si>
  <si>
    <t xml:space="preserve"> Net Profit</t>
  </si>
  <si>
    <t>Count of Payment Method</t>
  </si>
  <si>
    <t>monica</t>
  </si>
  <si>
    <t>Johny Grant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</si>
</sst>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0.000"/>
    <numFmt numFmtId="165" formatCode="_(&quot;$&quot;* #,##0_);_(&quot;$&quot;* \(#,##0\);_(&quot;$&quot;* &quot;-&quot;??_);_(@_)"/>
  </numFmts>
  <fonts count="19">
    <font>
      <sz val="11"/>
      <color theme="1"/>
      <name val="Calibri"/>
      <family val="2"/>
      <scheme val="minor"/>
    </font>
    <font>
      <i/>
      <sz val="11"/>
      <color theme="1"/>
      <name val="Calibri"/>
      <family val="2"/>
      <scheme val="minor"/>
    </font>
    <font>
      <b/>
      <sz val="12"/>
      <color rgb="FFC00000"/>
      <name val="Calibri"/>
      <family val="2"/>
      <scheme val="minor"/>
    </font>
    <font>
      <b/>
      <sz val="16"/>
      <color theme="1"/>
      <name val="Calibri"/>
      <family val="2"/>
      <scheme val="minor"/>
    </font>
    <font>
      <sz val="14"/>
      <color theme="1"/>
      <name val="Calibri"/>
      <family val="2"/>
      <scheme val="minor"/>
    </font>
    <font>
      <sz val="12"/>
      <color theme="1"/>
      <name val="Calibri"/>
      <family val="2"/>
      <scheme val="minor"/>
    </font>
    <font>
      <b/>
      <sz val="20"/>
      <color theme="1"/>
      <name val="Calibri"/>
      <family val="2"/>
      <scheme val="minor"/>
    </font>
    <font>
      <sz val="24"/>
      <color theme="1"/>
      <name val="Calibri"/>
      <family val="2"/>
      <scheme val="minor"/>
    </font>
    <font>
      <b/>
      <sz val="24"/>
      <color theme="1"/>
      <name val="Calibri"/>
      <family val="2"/>
      <scheme val="minor"/>
    </font>
    <font>
      <b/>
      <i/>
      <sz val="11"/>
      <color theme="1"/>
      <name val="Calibri"/>
      <family val="2"/>
      <scheme val="minor"/>
    </font>
    <font>
      <b/>
      <sz val="11"/>
      <color theme="1"/>
      <name val="Calibri"/>
      <family val="2"/>
      <scheme val="minor"/>
    </font>
    <font>
      <sz val="28"/>
      <color rgb="FFDFE8E6"/>
      <name val="Calibri"/>
      <family val="2"/>
      <scheme val="minor"/>
    </font>
    <font>
      <b/>
      <sz val="28"/>
      <color rgb="FFDFE8E6"/>
      <name val="Calibri"/>
      <family val="2"/>
      <scheme val="minor"/>
    </font>
    <font>
      <b/>
      <sz val="11"/>
      <color rgb="FF000000"/>
      <name val="Calibri"/>
      <family val="2"/>
    </font>
    <font>
      <sz val="11"/>
      <color theme="1"/>
      <name val="Calibri"/>
      <family val="2"/>
      <scheme val="minor"/>
    </font>
    <font>
      <sz val="11"/>
      <color theme="1"/>
      <name val="Ru"/>
    </font>
    <font>
      <sz val="11"/>
      <color theme="1"/>
      <name val="Wes"/>
    </font>
    <font>
      <sz val="11"/>
      <color theme="0"/>
      <name val="Calibri"/>
      <family val="2"/>
      <scheme val="minor"/>
    </font>
    <font>
      <b/>
      <sz val="11"/>
      <color rgb="FF333333"/>
      <name val="Calibri"/>
      <family val="2"/>
    </font>
  </fonts>
  <fills count="8">
    <fill>
      <patternFill patternType="none"/>
    </fill>
    <fill>
      <patternFill patternType="gray125"/>
    </fill>
    <fill>
      <patternFill patternType="solid">
        <fgColor theme="4" tint="0.79998168889431442"/>
        <bgColor indexed="64"/>
      </patternFill>
    </fill>
    <fill>
      <patternFill patternType="solid">
        <fgColor theme="9"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rgb="FFA0430A"/>
        <bgColor indexed="64"/>
      </patternFill>
    </fill>
    <fill>
      <patternFill patternType="solid">
        <fgColor rgb="FFFFFEFB"/>
        <bgColor indexed="64"/>
      </patternFill>
    </fill>
  </fills>
  <borders count="15">
    <border>
      <left/>
      <right/>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s>
  <cellStyleXfs count="3">
    <xf numFmtId="0" fontId="0" fillId="0" borderId="0"/>
    <xf numFmtId="44" fontId="14" fillId="0" borderId="0" applyFont="0" applyFill="0" applyBorder="0" applyAlignment="0" applyProtection="0"/>
    <xf numFmtId="9" fontId="14" fillId="0" borderId="0" applyFont="0" applyFill="0" applyBorder="0" applyAlignment="0" applyProtection="0"/>
  </cellStyleXfs>
  <cellXfs count="68">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1" fontId="0" fillId="0" borderId="3" xfId="0" applyNumberFormat="1" applyBorder="1"/>
    <xf numFmtId="1" fontId="0" fillId="0" borderId="4" xfId="0" applyNumberFormat="1" applyBorder="1"/>
    <xf numFmtId="0" fontId="1" fillId="0" borderId="5" xfId="0" applyFont="1" applyBorder="1" applyAlignment="1">
      <alignment horizontal="center"/>
    </xf>
    <xf numFmtId="0" fontId="1" fillId="0" borderId="6" xfId="0" applyFont="1" applyBorder="1" applyAlignment="1">
      <alignment horizontal="center"/>
    </xf>
    <xf numFmtId="0" fontId="3" fillId="0" borderId="0" xfId="0" applyFont="1"/>
    <xf numFmtId="0" fontId="6" fillId="0" borderId="0" xfId="0" applyFont="1"/>
    <xf numFmtId="0" fontId="0" fillId="0" borderId="9" xfId="0" applyBorder="1"/>
    <xf numFmtId="0" fontId="0" fillId="0" borderId="10" xfId="0" applyBorder="1"/>
    <xf numFmtId="0" fontId="0" fillId="0" borderId="11" xfId="0" applyBorder="1"/>
    <xf numFmtId="2" fontId="0" fillId="0" borderId="3" xfId="0" applyNumberFormat="1" applyBorder="1"/>
    <xf numFmtId="164" fontId="0" fillId="0" borderId="3" xfId="0" applyNumberFormat="1" applyBorder="1"/>
    <xf numFmtId="0" fontId="0" fillId="0" borderId="0" xfId="0" applyAlignment="1">
      <alignment horizontal="center" vertical="center"/>
    </xf>
    <xf numFmtId="0" fontId="0" fillId="2" borderId="0" xfId="0" applyFill="1"/>
    <xf numFmtId="0" fontId="0" fillId="3" borderId="0" xfId="0" applyFill="1"/>
    <xf numFmtId="0" fontId="0" fillId="4" borderId="0" xfId="0" applyFill="1"/>
    <xf numFmtId="0" fontId="10" fillId="4" borderId="1" xfId="0" applyFont="1" applyFill="1" applyBorder="1" applyAlignment="1">
      <alignment horizontal="center"/>
    </xf>
    <xf numFmtId="0" fontId="10" fillId="4" borderId="9" xfId="0" applyFont="1" applyFill="1" applyBorder="1" applyAlignment="1">
      <alignment horizontal="center"/>
    </xf>
    <xf numFmtId="0" fontId="10" fillId="4" borderId="10" xfId="0" applyFont="1" applyFill="1" applyBorder="1" applyAlignment="1">
      <alignment horizontal="center"/>
    </xf>
    <xf numFmtId="0" fontId="0" fillId="4" borderId="3" xfId="0" applyFill="1" applyBorder="1"/>
    <xf numFmtId="0" fontId="10" fillId="0" borderId="0" xfId="0" applyFont="1" applyAlignment="1">
      <alignment horizontal="center"/>
    </xf>
    <xf numFmtId="0" fontId="10" fillId="0" borderId="11" xfId="0" applyFont="1" applyBorder="1" applyAlignment="1">
      <alignment horizontal="center"/>
    </xf>
    <xf numFmtId="0" fontId="0" fillId="0" borderId="11" xfId="0" applyBorder="1" applyAlignment="1">
      <alignment horizontal="center"/>
    </xf>
    <xf numFmtId="0" fontId="0" fillId="0" borderId="0" xfId="0" applyAlignment="1">
      <alignment horizontal="center"/>
    </xf>
    <xf numFmtId="14" fontId="0" fillId="2" borderId="0" xfId="0" applyNumberFormat="1" applyFill="1"/>
    <xf numFmtId="0" fontId="11" fillId="4" borderId="12" xfId="0" applyFont="1" applyFill="1" applyBorder="1" applyAlignment="1">
      <alignment horizontal="center" vertical="center"/>
    </xf>
    <xf numFmtId="0" fontId="11" fillId="4" borderId="13" xfId="0" applyFont="1" applyFill="1" applyBorder="1" applyAlignment="1">
      <alignment horizontal="center" vertical="center"/>
    </xf>
    <xf numFmtId="0" fontId="11" fillId="4" borderId="14" xfId="0" applyFont="1" applyFill="1" applyBorder="1" applyAlignment="1">
      <alignment horizontal="center" vertical="center"/>
    </xf>
    <xf numFmtId="1" fontId="0" fillId="2" borderId="0" xfId="0" applyNumberFormat="1" applyFill="1"/>
    <xf numFmtId="0" fontId="0" fillId="5" borderId="0" xfId="0" applyFill="1" applyProtection="1">
      <protection locked="0"/>
    </xf>
    <xf numFmtId="14" fontId="0" fillId="5" borderId="0" xfId="0" applyNumberFormat="1" applyFill="1" applyProtection="1">
      <protection locked="0"/>
    </xf>
    <xf numFmtId="0" fontId="0" fillId="0" borderId="0" xfId="0" pivotButton="1"/>
    <xf numFmtId="0" fontId="0" fillId="0" borderId="0" xfId="0" applyAlignment="1">
      <alignment horizontal="left"/>
    </xf>
    <xf numFmtId="9" fontId="0" fillId="0" borderId="0" xfId="2" applyFont="1"/>
    <xf numFmtId="165" fontId="0" fillId="0" borderId="0" xfId="1" applyNumberFormat="1" applyFont="1"/>
    <xf numFmtId="2" fontId="0" fillId="0" borderId="0" xfId="2" applyNumberFormat="1" applyFont="1"/>
    <xf numFmtId="1" fontId="0" fillId="0" borderId="0" xfId="2" applyNumberFormat="1" applyFont="1"/>
    <xf numFmtId="0" fontId="0" fillId="2" borderId="0" xfId="0" applyFill="1" applyProtection="1">
      <protection locked="0"/>
    </xf>
    <xf numFmtId="0" fontId="15" fillId="7" borderId="0" xfId="0" applyFont="1" applyFill="1"/>
    <xf numFmtId="0" fontId="0" fillId="7" borderId="0" xfId="0" applyFill="1"/>
    <xf numFmtId="0" fontId="16" fillId="7" borderId="0" xfId="0" applyFont="1" applyFill="1"/>
    <xf numFmtId="0" fontId="17" fillId="0" borderId="0" xfId="0" applyFont="1"/>
    <xf numFmtId="9" fontId="17" fillId="0" borderId="0" xfId="2" applyFont="1"/>
    <xf numFmtId="0" fontId="10" fillId="0" borderId="0" xfId="0" applyFont="1" applyAlignment="1">
      <alignment horizontal="center"/>
    </xf>
    <xf numFmtId="0" fontId="0" fillId="0" borderId="0" xfId="0" applyAlignment="1">
      <alignment horizontal="center"/>
    </xf>
    <xf numFmtId="0" fontId="4" fillId="0" borderId="0" xfId="0" applyFont="1"/>
    <xf numFmtId="0" fontId="0" fillId="0" borderId="0" xfId="0"/>
    <xf numFmtId="0" fontId="0" fillId="0" borderId="8" xfId="0" applyBorder="1" applyAlignment="1">
      <alignment horizontal="center"/>
    </xf>
    <xf numFmtId="0" fontId="0" fillId="0" borderId="7" xfId="0" applyBorder="1" applyAlignment="1">
      <alignment horizontal="center"/>
    </xf>
    <xf numFmtId="0" fontId="0" fillId="0" borderId="5" xfId="0" applyBorder="1" applyAlignment="1">
      <alignment horizontal="center"/>
    </xf>
    <xf numFmtId="0" fontId="3" fillId="0" borderId="0" xfId="0" applyFont="1"/>
    <xf numFmtId="0" fontId="2" fillId="0" borderId="0" xfId="0" applyFont="1"/>
    <xf numFmtId="0" fontId="8" fillId="0" borderId="8" xfId="0" applyFont="1" applyBorder="1" applyAlignment="1">
      <alignment horizontal="center" vertical="center"/>
    </xf>
    <xf numFmtId="0" fontId="7" fillId="0" borderId="7" xfId="0" applyFont="1" applyBorder="1" applyAlignment="1">
      <alignment horizontal="center" vertical="center"/>
    </xf>
    <xf numFmtId="0" fontId="7" fillId="0" borderId="5" xfId="0" applyFont="1" applyBorder="1" applyAlignment="1">
      <alignment horizontal="center" vertical="center"/>
    </xf>
    <xf numFmtId="0" fontId="5" fillId="0" borderId="0" xfId="0" applyFont="1"/>
    <xf numFmtId="0" fontId="6" fillId="0" borderId="0" xfId="0" applyFont="1" applyAlignment="1">
      <alignment horizontal="center"/>
    </xf>
    <xf numFmtId="0" fontId="9" fillId="0" borderId="8" xfId="0" applyFont="1" applyBorder="1" applyAlignment="1">
      <alignment horizontal="center"/>
    </xf>
    <xf numFmtId="0" fontId="9" fillId="0" borderId="5" xfId="0" applyFont="1" applyBorder="1" applyAlignment="1">
      <alignment horizontal="center"/>
    </xf>
    <xf numFmtId="0" fontId="12" fillId="6" borderId="13" xfId="0" applyFont="1" applyFill="1" applyBorder="1" applyAlignment="1">
      <alignment horizontal="center" vertical="center"/>
    </xf>
    <xf numFmtId="0" fontId="11" fillId="6" borderId="13" xfId="0" applyFont="1" applyFill="1" applyBorder="1" applyAlignment="1">
      <alignment horizontal="center" vertical="center"/>
    </xf>
    <xf numFmtId="0" fontId="11" fillId="6" borderId="0" xfId="0" applyFont="1" applyFill="1" applyAlignment="1">
      <alignment horizontal="center" vertical="center"/>
    </xf>
    <xf numFmtId="0" fontId="0" fillId="0" borderId="0" xfId="0" applyNumberFormat="1"/>
  </cellXfs>
  <cellStyles count="3">
    <cellStyle name="Currency" xfId="1" builtinId="4"/>
    <cellStyle name="Normal" xfId="0" builtinId="0"/>
    <cellStyle name="Percent" xfId="2" builtinId="5"/>
  </cellStyles>
  <dxfs count="12">
    <dxf>
      <numFmt numFmtId="0" formatCode="General"/>
    </dxf>
    <dxf>
      <numFmt numFmtId="19" formatCode="m/d/yyyy"/>
    </dxf>
    <dxf>
      <numFmt numFmtId="19" formatCode="m/d/yyyy"/>
    </dxf>
    <dxf>
      <fill>
        <patternFill>
          <bgColor rgb="FFC00000"/>
        </patternFill>
      </fill>
    </dxf>
    <dxf>
      <font>
        <b/>
        <i val="0"/>
        <color theme="9"/>
      </font>
    </dxf>
    <dxf>
      <font>
        <b/>
        <i val="0"/>
        <color rgb="FFC00000"/>
      </font>
    </dxf>
    <dxf>
      <font>
        <b/>
        <i val="0"/>
        <color theme="9"/>
      </font>
    </dxf>
    <dxf>
      <font>
        <b/>
        <i val="0"/>
        <color rgb="FFC00000"/>
      </font>
    </dxf>
    <dxf>
      <font>
        <b/>
        <i val="0"/>
        <color theme="9"/>
      </font>
    </dxf>
    <dxf>
      <font>
        <b/>
        <i val="0"/>
        <color rgb="FFC00000"/>
      </font>
    </dxf>
    <dxf>
      <font>
        <b/>
        <i val="0"/>
        <sz val="12"/>
        <name val="Calibri"/>
        <family val="2"/>
        <scheme val="minor"/>
      </font>
      <fill>
        <patternFill patternType="none">
          <fgColor auto="1"/>
          <bgColor auto="1"/>
        </patternFill>
      </fill>
    </dxf>
    <dxf>
      <fill>
        <gradientFill degree="90">
          <stop position="0">
            <color rgb="FFA0430A"/>
          </stop>
          <stop position="1">
            <color theme="0"/>
          </stop>
        </gradientFill>
      </fill>
    </dxf>
  </dxfs>
  <tableStyles count="1" defaultTableStyle="TableStyleMedium2" defaultPivotStyle="PivotStyleLight16">
    <tableStyle name="Slicer Style 1" pivot="0" table="0" count="5" xr9:uid="{C79CA3CA-51D8-4A4A-9A75-915C70CB8D22}">
      <tableStyleElement type="wholeTable" dxfId="11"/>
      <tableStyleElement type="headerRow" dxfId="10"/>
    </tableStyle>
  </tableStyles>
  <colors>
    <mruColors>
      <color rgb="FFF5F4F1"/>
      <color rgb="FF00668C"/>
      <color rgb="FF3B3C3D"/>
      <color rgb="FF71C4EF"/>
      <color rgb="FFD4EAF7"/>
      <color rgb="FF1D1C1C"/>
      <color rgb="FFFFFEFB"/>
      <color rgb="FFDFE8E6"/>
      <color rgb="FFA0430A"/>
      <color rgb="FFCD560D"/>
    </mruColors>
  </colors>
  <extLst>
    <ext xmlns:x14="http://schemas.microsoft.com/office/spreadsheetml/2009/9/main" uri="{46F421CA-312F-682f-3DD2-61675219B42D}">
      <x14:dxfs count="3">
        <dxf>
          <font>
            <b val="0"/>
            <i val="0"/>
            <sz val="11"/>
            <color rgb="FFA0430A"/>
            <name val="Calibri"/>
            <family val="2"/>
            <scheme val="minor"/>
          </font>
          <fill>
            <gradientFill degree="90">
              <stop position="0">
                <color rgb="FFDFE8E6"/>
              </stop>
              <stop position="1">
                <color theme="0" tint="-0.1490218817712943"/>
              </stop>
            </gradientFill>
          </fill>
        </dxf>
        <dxf>
          <font>
            <b val="0"/>
            <i val="0"/>
            <sz val="11"/>
            <color rgb="FFDFE8E6"/>
            <name val="Calibri"/>
            <family val="2"/>
            <scheme val="minor"/>
          </font>
          <fill>
            <gradientFill degree="45">
              <stop position="0">
                <color rgb="FFA0430A"/>
              </stop>
              <stop position="1">
                <color rgb="FFCE560C"/>
              </stop>
            </gradientFill>
          </fill>
        </dxf>
        <dxf>
          <font>
            <b val="0"/>
            <i val="0"/>
            <sz val="11"/>
            <color theme="1"/>
            <name val="Calibri"/>
            <family val="2"/>
            <scheme val="minor"/>
          </font>
          <fill>
            <patternFill>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solidFill>
                <a:schemeClr val="bg1"/>
              </a:solidFill>
            </a:ln>
          </c:spPr>
          <c:dPt>
            <c:idx val="0"/>
            <c:bubble3D val="0"/>
            <c:spPr>
              <a:gradFill flip="none" rotWithShape="1">
                <a:gsLst>
                  <a:gs pos="0">
                    <a:srgbClr val="306655"/>
                  </a:gs>
                  <a:gs pos="100000">
                    <a:srgbClr val="82C4B0"/>
                  </a:gs>
                </a:gsLst>
                <a:lin ang="5400000" scaled="1"/>
                <a:tileRect/>
              </a:gradFill>
              <a:ln w="19050">
                <a:solidFill>
                  <a:schemeClr val="bg1"/>
                </a:solidFill>
              </a:ln>
              <a:effectLst/>
            </c:spPr>
            <c:extLst>
              <c:ext xmlns:c16="http://schemas.microsoft.com/office/drawing/2014/chart" uri="{C3380CC4-5D6E-409C-BE32-E72D297353CC}">
                <c16:uniqueId val="{00000001-78EC-41C7-9F20-8CBD4CBAFE57}"/>
              </c:ext>
            </c:extLst>
          </c:dPt>
          <c:dPt>
            <c:idx val="1"/>
            <c:bubble3D val="0"/>
            <c:spPr>
              <a:solidFill>
                <a:schemeClr val="bg1">
                  <a:lumMod val="95000"/>
                </a:schemeClr>
              </a:solidFill>
              <a:ln w="19050">
                <a:solidFill>
                  <a:schemeClr val="bg1"/>
                </a:solidFill>
              </a:ln>
              <a:effectLst/>
            </c:spPr>
            <c:extLst>
              <c:ext xmlns:c16="http://schemas.microsoft.com/office/drawing/2014/chart" uri="{C3380CC4-5D6E-409C-BE32-E72D297353CC}">
                <c16:uniqueId val="{00000003-78EC-41C7-9F20-8CBD4CBAFE57}"/>
              </c:ext>
            </c:extLst>
          </c:dPt>
          <c:dLbls>
            <c:spPr>
              <a:noFill/>
              <a:ln>
                <a:noFill/>
              </a:ln>
              <a:effectLst/>
            </c:spPr>
            <c:txPr>
              <a:bodyPr rot="0" spcFirstLastPara="1" vertOverflow="ellipsis" vert="horz" wrap="square" anchor="ctr" anchorCtr="1"/>
              <a:lstStyle/>
              <a:p>
                <a:pPr>
                  <a:defRPr sz="900" b="0" i="0" u="none" strike="noStrike" kern="1200" baseline="0">
                    <a:no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KPI!$G$12:$G$13</c:f>
              <c:numCache>
                <c:formatCode>0%</c:formatCode>
                <c:ptCount val="2"/>
                <c:pt idx="0">
                  <c:v>0.52112676056338025</c:v>
                </c:pt>
                <c:pt idx="1">
                  <c:v>0.47887323943661969</c:v>
                </c:pt>
              </c:numCache>
            </c:numRef>
          </c:val>
          <c:extLst>
            <c:ext xmlns:c16="http://schemas.microsoft.com/office/drawing/2014/chart" uri="{C3380CC4-5D6E-409C-BE32-E72D297353CC}">
              <c16:uniqueId val="{00000004-78EC-41C7-9F20-8CBD4CBAFE57}"/>
            </c:ext>
          </c:extLst>
        </c:ser>
        <c:dLbls>
          <c:showLegendKey val="0"/>
          <c:showVal val="0"/>
          <c:showCatName val="0"/>
          <c:showSerName val="0"/>
          <c:showPercent val="1"/>
          <c:showBubbleSize val="0"/>
          <c:showLeaderLines val="1"/>
        </c:dLbls>
        <c:firstSliceAng val="0"/>
        <c:holeSize val="64"/>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no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en-US" sz="1080" b="0" i="0" u="none" strike="noStrike" kern="1200" spc="0" baseline="0">
              <a:noFill/>
              <a:latin typeface="+mn-lt"/>
              <a:ea typeface="+mn-ea"/>
              <a:cs typeface="+mn-cs"/>
            </a:defRPr>
          </a:pPr>
          <a:endParaRPr lang="en-US"/>
        </a:p>
      </c:txPr>
    </c:title>
    <c:autoTitleDeleted val="0"/>
    <c:plotArea>
      <c:layout/>
      <c:doughnutChart>
        <c:varyColors val="1"/>
        <c:ser>
          <c:idx val="0"/>
          <c:order val="0"/>
          <c:dPt>
            <c:idx val="0"/>
            <c:bubble3D val="0"/>
            <c:spPr>
              <a:gradFill flip="none" rotWithShape="1">
                <a:gsLst>
                  <a:gs pos="0">
                    <a:srgbClr val="306655">
                      <a:shade val="30000"/>
                      <a:satMod val="115000"/>
                    </a:srgbClr>
                  </a:gs>
                  <a:gs pos="100000">
                    <a:srgbClr val="86CCB6"/>
                  </a:gs>
                </a:gsLst>
                <a:lin ang="2700000" scaled="1"/>
                <a:tileRect/>
              </a:gradFill>
              <a:ln w="19050">
                <a:solidFill>
                  <a:schemeClr val="lt1"/>
                </a:solidFill>
              </a:ln>
              <a:effectLst/>
            </c:spPr>
            <c:extLst>
              <c:ext xmlns:c16="http://schemas.microsoft.com/office/drawing/2014/chart" uri="{C3380CC4-5D6E-409C-BE32-E72D297353CC}">
                <c16:uniqueId val="{00000001-2DBF-430B-9807-0CFB56D2CFE8}"/>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2DBF-430B-9807-0CFB56D2CFE8}"/>
              </c:ext>
            </c:extLst>
          </c:dPt>
          <c:val>
            <c:numRef>
              <c:f>KPI!$J$12:$J$13</c:f>
              <c:numCache>
                <c:formatCode>0%</c:formatCode>
                <c:ptCount val="2"/>
                <c:pt idx="0">
                  <c:v>0.47887323943661969</c:v>
                </c:pt>
                <c:pt idx="1">
                  <c:v>0.52112676056338025</c:v>
                </c:pt>
              </c:numCache>
            </c:numRef>
          </c:val>
          <c:extLst>
            <c:ext xmlns:c16="http://schemas.microsoft.com/office/drawing/2014/chart" uri="{C3380CC4-5D6E-409C-BE32-E72D297353CC}">
              <c16:uniqueId val="{00000004-2DBF-430B-9807-0CFB56D2CFE8}"/>
            </c:ext>
          </c:extLst>
        </c:ser>
        <c:dLbls>
          <c:showLegendKey val="0"/>
          <c:showVal val="0"/>
          <c:showCatName val="0"/>
          <c:showSerName val="0"/>
          <c:showPercent val="0"/>
          <c:showBubbleSize val="0"/>
          <c:showLeaderLines val="1"/>
        </c:dLbls>
        <c:firstSliceAng val="0"/>
        <c:holeSize val="64"/>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900" b="0" i="0" u="none" strike="noStrike" kern="1200" baseline="0">
          <a:no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[Dashboard_data.xlsm]KPI!PivotTable12</c:name>
    <c:fmtId val="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668C"/>
          </a:solidFill>
          <a:ln>
            <a:solidFill>
              <a:srgbClr val="00668C"/>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71C4E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668C"/>
          </a:solidFill>
          <a:ln>
            <a:solidFill>
              <a:srgbClr val="00668C"/>
            </a:solidFill>
          </a:ln>
          <a:effectLst/>
        </c:spPr>
      </c:pivotFmt>
      <c:pivotFmt>
        <c:idx val="10"/>
        <c:spPr>
          <a:solidFill>
            <a:srgbClr val="00668C"/>
          </a:solidFill>
          <a:ln>
            <a:solidFill>
              <a:srgbClr val="00668C"/>
            </a:solidFill>
          </a:ln>
          <a:effectLst/>
        </c:spPr>
      </c:pivotFmt>
      <c:pivotFmt>
        <c:idx val="11"/>
        <c:spPr>
          <a:solidFill>
            <a:srgbClr val="00668C"/>
          </a:solidFill>
          <a:ln>
            <a:solidFill>
              <a:srgbClr val="00668C"/>
            </a:solidFill>
          </a:ln>
          <a:effectLst/>
        </c:spPr>
      </c:pivotFmt>
      <c:pivotFmt>
        <c:idx val="12"/>
        <c:spPr>
          <a:solidFill>
            <a:srgbClr val="00668C"/>
          </a:solidFill>
          <a:ln>
            <a:solidFill>
              <a:srgbClr val="00668C"/>
            </a:solidFill>
          </a:ln>
          <a:effectLst/>
        </c:spPr>
      </c:pivotFmt>
    </c:pivotFmts>
    <c:plotArea>
      <c:layout>
        <c:manualLayout>
          <c:layoutTarget val="inner"/>
          <c:xMode val="edge"/>
          <c:yMode val="edge"/>
          <c:x val="0.12112348261154855"/>
          <c:y val="5.0925801510306096E-2"/>
          <c:w val="0.70642726346424489"/>
          <c:h val="0.8416746864975212"/>
        </c:manualLayout>
      </c:layout>
      <c:barChart>
        <c:barDir val="col"/>
        <c:grouping val="clustered"/>
        <c:varyColors val="0"/>
        <c:ser>
          <c:idx val="0"/>
          <c:order val="0"/>
          <c:tx>
            <c:strRef>
              <c:f>KPI!$D$54</c:f>
              <c:strCache>
                <c:ptCount val="1"/>
                <c:pt idx="0">
                  <c:v> Total Cost</c:v>
                </c:pt>
              </c:strCache>
            </c:strRef>
          </c:tx>
          <c:spPr>
            <a:solidFill>
              <a:schemeClr val="accent1">
                <a:lumMod val="50000"/>
              </a:schemeClr>
            </a:solidFill>
            <a:ln>
              <a:noFill/>
            </a:ln>
            <a:effectLst/>
          </c:spPr>
          <c:invertIfNegative val="0"/>
          <c:cat>
            <c:strRef>
              <c:f>KPI!$C$55:$C$60</c:f>
              <c:strCache>
                <c:ptCount val="5"/>
                <c:pt idx="0">
                  <c:v>Apparel</c:v>
                </c:pt>
                <c:pt idx="1">
                  <c:v>Books</c:v>
                </c:pt>
                <c:pt idx="2">
                  <c:v>Electronics</c:v>
                </c:pt>
                <c:pt idx="3">
                  <c:v>Groceries</c:v>
                </c:pt>
                <c:pt idx="4">
                  <c:v>Home Decor</c:v>
                </c:pt>
              </c:strCache>
            </c:strRef>
          </c:cat>
          <c:val>
            <c:numRef>
              <c:f>KPI!$D$55:$D$60</c:f>
              <c:numCache>
                <c:formatCode>General</c:formatCode>
                <c:ptCount val="5"/>
                <c:pt idx="0">
                  <c:v>133070</c:v>
                </c:pt>
                <c:pt idx="1">
                  <c:v>106539</c:v>
                </c:pt>
                <c:pt idx="2">
                  <c:v>113598</c:v>
                </c:pt>
                <c:pt idx="3">
                  <c:v>81519</c:v>
                </c:pt>
                <c:pt idx="4">
                  <c:v>75563</c:v>
                </c:pt>
              </c:numCache>
            </c:numRef>
          </c:val>
          <c:extLst>
            <c:ext xmlns:c16="http://schemas.microsoft.com/office/drawing/2014/chart" uri="{C3380CC4-5D6E-409C-BE32-E72D297353CC}">
              <c16:uniqueId val="{00000000-85D0-45B0-8474-ACA22F58C6C8}"/>
            </c:ext>
          </c:extLst>
        </c:ser>
        <c:ser>
          <c:idx val="1"/>
          <c:order val="1"/>
          <c:tx>
            <c:strRef>
              <c:f>KPI!$E$54</c:f>
              <c:strCache>
                <c:ptCount val="1"/>
                <c:pt idx="0">
                  <c:v> Sales Revenue</c:v>
                </c:pt>
              </c:strCache>
            </c:strRef>
          </c:tx>
          <c:spPr>
            <a:solidFill>
              <a:srgbClr val="00668C"/>
            </a:solidFill>
            <a:ln>
              <a:solidFill>
                <a:srgbClr val="00668C"/>
              </a:solidFill>
            </a:ln>
            <a:effectLst/>
          </c:spPr>
          <c:invertIfNegative val="0"/>
          <c:dPt>
            <c:idx val="0"/>
            <c:invertIfNegative val="0"/>
            <c:bubble3D val="0"/>
            <c:spPr>
              <a:solidFill>
                <a:srgbClr val="00668C"/>
              </a:solidFill>
              <a:ln>
                <a:solidFill>
                  <a:srgbClr val="00668C"/>
                </a:solidFill>
              </a:ln>
              <a:effectLst/>
            </c:spPr>
            <c:extLst>
              <c:ext xmlns:c16="http://schemas.microsoft.com/office/drawing/2014/chart" uri="{C3380CC4-5D6E-409C-BE32-E72D297353CC}">
                <c16:uniqueId val="{00000007-85D0-45B0-8474-ACA22F58C6C8}"/>
              </c:ext>
            </c:extLst>
          </c:dPt>
          <c:dPt>
            <c:idx val="1"/>
            <c:invertIfNegative val="0"/>
            <c:bubble3D val="0"/>
            <c:spPr>
              <a:solidFill>
                <a:srgbClr val="00668C"/>
              </a:solidFill>
              <a:ln>
                <a:solidFill>
                  <a:srgbClr val="00668C"/>
                </a:solidFill>
              </a:ln>
              <a:effectLst/>
            </c:spPr>
            <c:extLst>
              <c:ext xmlns:c16="http://schemas.microsoft.com/office/drawing/2014/chart" uri="{C3380CC4-5D6E-409C-BE32-E72D297353CC}">
                <c16:uniqueId val="{00000006-85D0-45B0-8474-ACA22F58C6C8}"/>
              </c:ext>
            </c:extLst>
          </c:dPt>
          <c:dPt>
            <c:idx val="2"/>
            <c:invertIfNegative val="0"/>
            <c:bubble3D val="0"/>
            <c:spPr>
              <a:solidFill>
                <a:srgbClr val="00668C"/>
              </a:solidFill>
              <a:ln>
                <a:solidFill>
                  <a:srgbClr val="00668C"/>
                </a:solidFill>
              </a:ln>
              <a:effectLst/>
            </c:spPr>
            <c:extLst>
              <c:ext xmlns:c16="http://schemas.microsoft.com/office/drawing/2014/chart" uri="{C3380CC4-5D6E-409C-BE32-E72D297353CC}">
                <c16:uniqueId val="{00000005-85D0-45B0-8474-ACA22F58C6C8}"/>
              </c:ext>
            </c:extLst>
          </c:dPt>
          <c:dPt>
            <c:idx val="3"/>
            <c:invertIfNegative val="0"/>
            <c:bubble3D val="0"/>
            <c:spPr>
              <a:solidFill>
                <a:srgbClr val="00668C"/>
              </a:solidFill>
              <a:ln>
                <a:solidFill>
                  <a:srgbClr val="00668C"/>
                </a:solidFill>
              </a:ln>
              <a:effectLst/>
            </c:spPr>
            <c:extLst>
              <c:ext xmlns:c16="http://schemas.microsoft.com/office/drawing/2014/chart" uri="{C3380CC4-5D6E-409C-BE32-E72D297353CC}">
                <c16:uniqueId val="{00000003-85D0-45B0-8474-ACA22F58C6C8}"/>
              </c:ext>
            </c:extLst>
          </c:dPt>
          <c:dPt>
            <c:idx val="4"/>
            <c:invertIfNegative val="0"/>
            <c:bubble3D val="0"/>
            <c:spPr>
              <a:solidFill>
                <a:srgbClr val="00668C"/>
              </a:solidFill>
              <a:ln>
                <a:solidFill>
                  <a:srgbClr val="00668C"/>
                </a:solidFill>
              </a:ln>
              <a:effectLst/>
            </c:spPr>
            <c:extLst>
              <c:ext xmlns:c16="http://schemas.microsoft.com/office/drawing/2014/chart" uri="{C3380CC4-5D6E-409C-BE32-E72D297353CC}">
                <c16:uniqueId val="{00000004-85D0-45B0-8474-ACA22F58C6C8}"/>
              </c:ext>
            </c:extLst>
          </c:dPt>
          <c:cat>
            <c:strRef>
              <c:f>KPI!$C$55:$C$60</c:f>
              <c:strCache>
                <c:ptCount val="5"/>
                <c:pt idx="0">
                  <c:v>Apparel</c:v>
                </c:pt>
                <c:pt idx="1">
                  <c:v>Books</c:v>
                </c:pt>
                <c:pt idx="2">
                  <c:v>Electronics</c:v>
                </c:pt>
                <c:pt idx="3">
                  <c:v>Groceries</c:v>
                </c:pt>
                <c:pt idx="4">
                  <c:v>Home Decor</c:v>
                </c:pt>
              </c:strCache>
            </c:strRef>
          </c:cat>
          <c:val>
            <c:numRef>
              <c:f>KPI!$E$55:$E$60</c:f>
              <c:numCache>
                <c:formatCode>General</c:formatCode>
                <c:ptCount val="5"/>
                <c:pt idx="0">
                  <c:v>183811</c:v>
                </c:pt>
                <c:pt idx="1">
                  <c:v>196314</c:v>
                </c:pt>
                <c:pt idx="2">
                  <c:v>152612</c:v>
                </c:pt>
                <c:pt idx="3">
                  <c:v>148602</c:v>
                </c:pt>
                <c:pt idx="4">
                  <c:v>105862</c:v>
                </c:pt>
              </c:numCache>
            </c:numRef>
          </c:val>
          <c:extLst>
            <c:ext xmlns:c16="http://schemas.microsoft.com/office/drawing/2014/chart" uri="{C3380CC4-5D6E-409C-BE32-E72D297353CC}">
              <c16:uniqueId val="{00000001-85D0-45B0-8474-ACA22F58C6C8}"/>
            </c:ext>
          </c:extLst>
        </c:ser>
        <c:ser>
          <c:idx val="2"/>
          <c:order val="2"/>
          <c:tx>
            <c:strRef>
              <c:f>KPI!$F$54</c:f>
              <c:strCache>
                <c:ptCount val="1"/>
                <c:pt idx="0">
                  <c:v> Net Profit</c:v>
                </c:pt>
              </c:strCache>
            </c:strRef>
          </c:tx>
          <c:spPr>
            <a:solidFill>
              <a:srgbClr val="71C4EF"/>
            </a:solidFill>
            <a:ln>
              <a:noFill/>
            </a:ln>
            <a:effectLst/>
          </c:spPr>
          <c:invertIfNegative val="0"/>
          <c:cat>
            <c:strRef>
              <c:f>KPI!$C$55:$C$60</c:f>
              <c:strCache>
                <c:ptCount val="5"/>
                <c:pt idx="0">
                  <c:v>Apparel</c:v>
                </c:pt>
                <c:pt idx="1">
                  <c:v>Books</c:v>
                </c:pt>
                <c:pt idx="2">
                  <c:v>Electronics</c:v>
                </c:pt>
                <c:pt idx="3">
                  <c:v>Groceries</c:v>
                </c:pt>
                <c:pt idx="4">
                  <c:v>Home Decor</c:v>
                </c:pt>
              </c:strCache>
            </c:strRef>
          </c:cat>
          <c:val>
            <c:numRef>
              <c:f>KPI!$F$55:$F$60</c:f>
              <c:numCache>
                <c:formatCode>General</c:formatCode>
                <c:ptCount val="5"/>
                <c:pt idx="0">
                  <c:v>50741</c:v>
                </c:pt>
                <c:pt idx="1">
                  <c:v>89775</c:v>
                </c:pt>
                <c:pt idx="2">
                  <c:v>39014</c:v>
                </c:pt>
                <c:pt idx="3">
                  <c:v>67083</c:v>
                </c:pt>
                <c:pt idx="4">
                  <c:v>30299</c:v>
                </c:pt>
              </c:numCache>
            </c:numRef>
          </c:val>
          <c:extLst>
            <c:ext xmlns:c16="http://schemas.microsoft.com/office/drawing/2014/chart" uri="{C3380CC4-5D6E-409C-BE32-E72D297353CC}">
              <c16:uniqueId val="{00000002-85D0-45B0-8474-ACA22F58C6C8}"/>
            </c:ext>
          </c:extLst>
        </c:ser>
        <c:dLbls>
          <c:showLegendKey val="0"/>
          <c:showVal val="0"/>
          <c:showCatName val="0"/>
          <c:showSerName val="0"/>
          <c:showPercent val="0"/>
          <c:showBubbleSize val="0"/>
        </c:dLbls>
        <c:gapWidth val="100"/>
        <c:overlap val="-24"/>
        <c:axId val="882250047"/>
        <c:axId val="882253407"/>
      </c:barChart>
      <c:catAx>
        <c:axId val="882250047"/>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82253407"/>
        <c:crosses val="autoZero"/>
        <c:auto val="1"/>
        <c:lblAlgn val="ctr"/>
        <c:lblOffset val="100"/>
        <c:noMultiLvlLbl val="0"/>
      </c:catAx>
      <c:valAx>
        <c:axId val="882253407"/>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82250047"/>
        <c:crosses val="autoZero"/>
        <c:crossBetween val="between"/>
      </c:valAx>
      <c:spPr>
        <a:noFill/>
        <a:ln>
          <a:noFill/>
        </a:ln>
        <a:effectLst/>
      </c:spPr>
    </c:plotArea>
    <c:legend>
      <c:legendPos val="r"/>
      <c:layout>
        <c:manualLayout>
          <c:xMode val="edge"/>
          <c:yMode val="edge"/>
          <c:x val="0.84500688541716129"/>
          <c:y val="4.021908719743366E-2"/>
          <c:w val="0.13832636522974187"/>
          <c:h val="0.956598862642169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[Dashboard_data.xlsm]KPI!PivotTable13</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lumMod val="50000"/>
              </a:schemeClr>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71C4EF">
                <a:alpha val="99000"/>
              </a:srgbClr>
            </a:solidFill>
            <a:round/>
          </a:ln>
          <a:effectLst/>
        </c:spPr>
        <c:marker>
          <c:symbol val="circle"/>
          <c:size val="5"/>
          <c:spPr>
            <a:solidFill>
              <a:srgbClr val="71C4EF"/>
            </a:solidFill>
            <a:ln w="9525">
              <a:solidFill>
                <a:srgbClr val="71C4E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A1BBB5">
                <a:alpha val="99000"/>
              </a:srgbClr>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4567256633028"/>
          <c:y val="5.0925801510306096E-2"/>
          <c:w val="0.68436769267477926"/>
          <c:h val="0.8416746864975212"/>
        </c:manualLayout>
      </c:layout>
      <c:lineChart>
        <c:grouping val="stacked"/>
        <c:varyColors val="0"/>
        <c:ser>
          <c:idx val="0"/>
          <c:order val="0"/>
          <c:tx>
            <c:strRef>
              <c:f>KPI!$D$69</c:f>
              <c:strCache>
                <c:ptCount val="1"/>
                <c:pt idx="0">
                  <c:v> Total Cost</c:v>
                </c:pt>
              </c:strCache>
            </c:strRef>
          </c:tx>
          <c:spPr>
            <a:ln w="28575" cap="rnd">
              <a:solidFill>
                <a:schemeClr val="accent1">
                  <a:lumMod val="50000"/>
                </a:schemeClr>
              </a:solidFill>
              <a:round/>
            </a:ln>
            <a:effectLst/>
          </c:spPr>
          <c:marker>
            <c:symbol val="circle"/>
            <c:size val="5"/>
            <c:spPr>
              <a:solidFill>
                <a:schemeClr val="accent1"/>
              </a:solidFill>
              <a:ln w="9525">
                <a:solidFill>
                  <a:schemeClr val="accent1"/>
                </a:solidFill>
              </a:ln>
              <a:effectLst/>
            </c:spPr>
          </c:marker>
          <c:cat>
            <c:strRef>
              <c:f>KPI!$C$70:$C$82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KPI!$D$70:$D$82</c:f>
              <c:numCache>
                <c:formatCode>General</c:formatCode>
                <c:ptCount val="12"/>
                <c:pt idx="0">
                  <c:v>51842</c:v>
                </c:pt>
                <c:pt idx="1">
                  <c:v>35256</c:v>
                </c:pt>
                <c:pt idx="2">
                  <c:v>34868</c:v>
                </c:pt>
                <c:pt idx="3">
                  <c:v>57953</c:v>
                </c:pt>
                <c:pt idx="4">
                  <c:v>31228</c:v>
                </c:pt>
                <c:pt idx="5">
                  <c:v>38381</c:v>
                </c:pt>
                <c:pt idx="6">
                  <c:v>52392</c:v>
                </c:pt>
                <c:pt idx="7">
                  <c:v>40248</c:v>
                </c:pt>
                <c:pt idx="8">
                  <c:v>29139</c:v>
                </c:pt>
                <c:pt idx="9">
                  <c:v>39693</c:v>
                </c:pt>
                <c:pt idx="10">
                  <c:v>36071</c:v>
                </c:pt>
                <c:pt idx="11">
                  <c:v>63218</c:v>
                </c:pt>
              </c:numCache>
            </c:numRef>
          </c:val>
          <c:smooth val="0"/>
          <c:extLst>
            <c:ext xmlns:c16="http://schemas.microsoft.com/office/drawing/2014/chart" uri="{C3380CC4-5D6E-409C-BE32-E72D297353CC}">
              <c16:uniqueId val="{00000000-E021-409B-A3B5-E113B1F2592B}"/>
            </c:ext>
          </c:extLst>
        </c:ser>
        <c:ser>
          <c:idx val="1"/>
          <c:order val="1"/>
          <c:tx>
            <c:strRef>
              <c:f>KPI!$E$69</c:f>
              <c:strCache>
                <c:ptCount val="1"/>
                <c:pt idx="0">
                  <c:v> Sales Revenue</c:v>
                </c:pt>
              </c:strCache>
            </c:strRef>
          </c:tx>
          <c:spPr>
            <a:ln w="28575" cap="rnd">
              <a:solidFill>
                <a:srgbClr val="71C4EF">
                  <a:alpha val="99000"/>
                </a:srgbClr>
              </a:solidFill>
              <a:round/>
            </a:ln>
            <a:effectLst/>
          </c:spPr>
          <c:marker>
            <c:symbol val="circle"/>
            <c:size val="5"/>
            <c:spPr>
              <a:solidFill>
                <a:srgbClr val="71C4EF"/>
              </a:solidFill>
              <a:ln w="9525">
                <a:solidFill>
                  <a:srgbClr val="71C4EF"/>
                </a:solidFill>
              </a:ln>
              <a:effectLst/>
            </c:spPr>
          </c:marker>
          <c:cat>
            <c:strRef>
              <c:f>KPI!$C$70:$C$82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KPI!$E$70:$E$82</c:f>
              <c:numCache>
                <c:formatCode>General</c:formatCode>
                <c:ptCount val="12"/>
                <c:pt idx="0">
                  <c:v>82131</c:v>
                </c:pt>
                <c:pt idx="1">
                  <c:v>51679</c:v>
                </c:pt>
                <c:pt idx="2">
                  <c:v>51543</c:v>
                </c:pt>
                <c:pt idx="3">
                  <c:v>86102</c:v>
                </c:pt>
                <c:pt idx="4">
                  <c:v>47421</c:v>
                </c:pt>
                <c:pt idx="5">
                  <c:v>65272</c:v>
                </c:pt>
                <c:pt idx="6">
                  <c:v>79727</c:v>
                </c:pt>
                <c:pt idx="7">
                  <c:v>60219</c:v>
                </c:pt>
                <c:pt idx="8">
                  <c:v>47293</c:v>
                </c:pt>
                <c:pt idx="9">
                  <c:v>59593</c:v>
                </c:pt>
                <c:pt idx="10">
                  <c:v>58748</c:v>
                </c:pt>
                <c:pt idx="11">
                  <c:v>97473</c:v>
                </c:pt>
              </c:numCache>
            </c:numRef>
          </c:val>
          <c:smooth val="0"/>
          <c:extLst>
            <c:ext xmlns:c16="http://schemas.microsoft.com/office/drawing/2014/chart" uri="{C3380CC4-5D6E-409C-BE32-E72D297353CC}">
              <c16:uniqueId val="{00000001-E021-409B-A3B5-E113B1F2592B}"/>
            </c:ext>
          </c:extLst>
        </c:ser>
        <c:ser>
          <c:idx val="2"/>
          <c:order val="2"/>
          <c:tx>
            <c:strRef>
              <c:f>KPI!$F$69</c:f>
              <c:strCache>
                <c:ptCount val="1"/>
                <c:pt idx="0">
                  <c:v> Net Profit</c:v>
                </c:pt>
              </c:strCache>
            </c:strRef>
          </c:tx>
          <c:spPr>
            <a:ln w="28575" cap="rnd">
              <a:solidFill>
                <a:srgbClr val="A1BBB5">
                  <a:alpha val="99000"/>
                </a:srgbClr>
              </a:solidFill>
              <a:round/>
            </a:ln>
            <a:effectLst/>
          </c:spPr>
          <c:marker>
            <c:symbol val="circle"/>
            <c:size val="5"/>
            <c:spPr>
              <a:solidFill>
                <a:schemeClr val="accent3"/>
              </a:solidFill>
              <a:ln w="9525">
                <a:solidFill>
                  <a:schemeClr val="accent3"/>
                </a:solidFill>
              </a:ln>
              <a:effectLst/>
            </c:spPr>
          </c:marker>
          <c:cat>
            <c:strRef>
              <c:f>KPI!$C$70:$C$82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KPI!$F$70:$F$82</c:f>
              <c:numCache>
                <c:formatCode>General</c:formatCode>
                <c:ptCount val="12"/>
                <c:pt idx="0">
                  <c:v>30289</c:v>
                </c:pt>
                <c:pt idx="1">
                  <c:v>16423</c:v>
                </c:pt>
                <c:pt idx="2">
                  <c:v>16675</c:v>
                </c:pt>
                <c:pt idx="3">
                  <c:v>28149</c:v>
                </c:pt>
                <c:pt idx="4">
                  <c:v>16193</c:v>
                </c:pt>
                <c:pt idx="5">
                  <c:v>26891</c:v>
                </c:pt>
                <c:pt idx="6">
                  <c:v>27335</c:v>
                </c:pt>
                <c:pt idx="7">
                  <c:v>19971</c:v>
                </c:pt>
                <c:pt idx="8">
                  <c:v>18154</c:v>
                </c:pt>
                <c:pt idx="9">
                  <c:v>19900</c:v>
                </c:pt>
                <c:pt idx="10">
                  <c:v>22677</c:v>
                </c:pt>
                <c:pt idx="11">
                  <c:v>34255</c:v>
                </c:pt>
              </c:numCache>
            </c:numRef>
          </c:val>
          <c:smooth val="0"/>
          <c:extLst>
            <c:ext xmlns:c16="http://schemas.microsoft.com/office/drawing/2014/chart" uri="{C3380CC4-5D6E-409C-BE32-E72D297353CC}">
              <c16:uniqueId val="{00000002-E021-409B-A3B5-E113B1F2592B}"/>
            </c:ext>
          </c:extLst>
        </c:ser>
        <c:dLbls>
          <c:showLegendKey val="0"/>
          <c:showVal val="0"/>
          <c:showCatName val="0"/>
          <c:showSerName val="0"/>
          <c:showPercent val="0"/>
          <c:showBubbleSize val="0"/>
        </c:dLbls>
        <c:marker val="1"/>
        <c:smooth val="0"/>
        <c:axId val="522811887"/>
        <c:axId val="522811407"/>
      </c:lineChart>
      <c:catAx>
        <c:axId val="522811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11407"/>
        <c:crosses val="autoZero"/>
        <c:auto val="1"/>
        <c:lblAlgn val="ctr"/>
        <c:lblOffset val="100"/>
        <c:noMultiLvlLbl val="0"/>
      </c:catAx>
      <c:valAx>
        <c:axId val="5228114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811887"/>
        <c:crosses val="autoZero"/>
        <c:crossBetween val="between"/>
      </c:valAx>
      <c:spPr>
        <a:noFill/>
        <a:ln>
          <a:noFill/>
        </a:ln>
        <a:effectLst/>
      </c:spPr>
    </c:plotArea>
    <c:legend>
      <c:legendPos val="r"/>
      <c:layout>
        <c:manualLayout>
          <c:xMode val="edge"/>
          <c:yMode val="edge"/>
          <c:x val="0.84895013123359575"/>
          <c:y val="1.5367014996731361E-2"/>
          <c:w val="0.13736997820552868"/>
          <c:h val="0.976821414981120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[Dashboard_data.xlsm]KPI!PivotTable14</c:name>
    <c:fmtId val="21"/>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668C"/>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KPI!$I$69</c:f>
              <c:strCache>
                <c:ptCount val="1"/>
                <c:pt idx="0">
                  <c:v>Total</c:v>
                </c:pt>
              </c:strCache>
            </c:strRef>
          </c:tx>
          <c:spPr>
            <a:solidFill>
              <a:srgbClr val="00668C"/>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KPI!$H$70:$H$77</c:f>
              <c:strCache>
                <c:ptCount val="7"/>
                <c:pt idx="0">
                  <c:v>Sun</c:v>
                </c:pt>
                <c:pt idx="1">
                  <c:v>Mon</c:v>
                </c:pt>
                <c:pt idx="2">
                  <c:v>Tue</c:v>
                </c:pt>
                <c:pt idx="3">
                  <c:v>Wed</c:v>
                </c:pt>
                <c:pt idx="4">
                  <c:v>Thu</c:v>
                </c:pt>
                <c:pt idx="5">
                  <c:v>Fri</c:v>
                </c:pt>
                <c:pt idx="6">
                  <c:v>Sat</c:v>
                </c:pt>
              </c:strCache>
            </c:strRef>
          </c:cat>
          <c:val>
            <c:numRef>
              <c:f>KPI!$I$70:$I$77</c:f>
              <c:numCache>
                <c:formatCode>General</c:formatCode>
                <c:ptCount val="7"/>
                <c:pt idx="0">
                  <c:v>102807</c:v>
                </c:pt>
                <c:pt idx="1">
                  <c:v>145139</c:v>
                </c:pt>
                <c:pt idx="2">
                  <c:v>61307</c:v>
                </c:pt>
                <c:pt idx="3">
                  <c:v>140635</c:v>
                </c:pt>
                <c:pt idx="4">
                  <c:v>105944</c:v>
                </c:pt>
                <c:pt idx="5">
                  <c:v>137505</c:v>
                </c:pt>
                <c:pt idx="6">
                  <c:v>93864</c:v>
                </c:pt>
              </c:numCache>
            </c:numRef>
          </c:val>
          <c:extLst>
            <c:ext xmlns:c16="http://schemas.microsoft.com/office/drawing/2014/chart" uri="{C3380CC4-5D6E-409C-BE32-E72D297353CC}">
              <c16:uniqueId val="{00000000-9CB4-4961-8A3E-1CCAA552D6E7}"/>
            </c:ext>
          </c:extLst>
        </c:ser>
        <c:dLbls>
          <c:showLegendKey val="0"/>
          <c:showVal val="1"/>
          <c:showCatName val="0"/>
          <c:showSerName val="0"/>
          <c:showPercent val="0"/>
          <c:showBubbleSize val="0"/>
        </c:dLbls>
        <c:gapWidth val="150"/>
        <c:shape val="box"/>
        <c:axId val="997124671"/>
        <c:axId val="997119391"/>
        <c:axId val="0"/>
      </c:bar3DChart>
      <c:catAx>
        <c:axId val="9971246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997119391"/>
        <c:crosses val="autoZero"/>
        <c:auto val="1"/>
        <c:lblAlgn val="ctr"/>
        <c:lblOffset val="100"/>
        <c:noMultiLvlLbl val="0"/>
      </c:catAx>
      <c:valAx>
        <c:axId val="997119391"/>
        <c:scaling>
          <c:orientation val="minMax"/>
        </c:scaling>
        <c:delete val="1"/>
        <c:axPos val="l"/>
        <c:numFmt formatCode="General" sourceLinked="1"/>
        <c:majorTickMark val="none"/>
        <c:minorTickMark val="none"/>
        <c:tickLblPos val="nextTo"/>
        <c:crossAx val="99712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[Dashboard_data.xlsm]KPI!PivotTable16</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668C"/>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
        <c:idx val="3"/>
        <c:spPr>
          <a:solidFill>
            <a:srgbClr val="00668C"/>
          </a:solidFill>
          <a:ln>
            <a:noFill/>
          </a:ln>
          <a:effectLst/>
        </c:spPr>
      </c:pivotFmt>
    </c:pivotFmts>
    <c:plotArea>
      <c:layout/>
      <c:barChart>
        <c:barDir val="bar"/>
        <c:grouping val="clustered"/>
        <c:varyColors val="0"/>
        <c:ser>
          <c:idx val="0"/>
          <c:order val="0"/>
          <c:tx>
            <c:strRef>
              <c:f>KPI!$D$93</c:f>
              <c:strCache>
                <c:ptCount val="1"/>
                <c:pt idx="0">
                  <c:v>Total</c:v>
                </c:pt>
              </c:strCache>
            </c:strRef>
          </c:tx>
          <c:spPr>
            <a:solidFill>
              <a:srgbClr val="00668C"/>
            </a:solidFill>
            <a:ln>
              <a:noFill/>
            </a:ln>
            <a:effectLst/>
          </c:spPr>
          <c:invertIfNegative val="0"/>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KPI!$C$94:$C$101</c:f>
              <c:strCache>
                <c:ptCount val="7"/>
                <c:pt idx="0">
                  <c:v>Antarctica</c:v>
                </c:pt>
                <c:pt idx="1">
                  <c:v>Brazil</c:v>
                </c:pt>
                <c:pt idx="2">
                  <c:v>China</c:v>
                </c:pt>
                <c:pt idx="3">
                  <c:v>United States</c:v>
                </c:pt>
                <c:pt idx="4">
                  <c:v>United Kingdom</c:v>
                </c:pt>
                <c:pt idx="5">
                  <c:v>Australia</c:v>
                </c:pt>
                <c:pt idx="6">
                  <c:v>Nigeria</c:v>
                </c:pt>
              </c:strCache>
            </c:strRef>
          </c:cat>
          <c:val>
            <c:numRef>
              <c:f>KPI!$D$94:$D$101</c:f>
              <c:numCache>
                <c:formatCode>General</c:formatCode>
                <c:ptCount val="7"/>
                <c:pt idx="0">
                  <c:v>36531</c:v>
                </c:pt>
                <c:pt idx="1">
                  <c:v>61622</c:v>
                </c:pt>
                <c:pt idx="2">
                  <c:v>230231</c:v>
                </c:pt>
                <c:pt idx="3">
                  <c:v>232872</c:v>
                </c:pt>
                <c:pt idx="4">
                  <c:v>289842</c:v>
                </c:pt>
                <c:pt idx="5">
                  <c:v>300103</c:v>
                </c:pt>
                <c:pt idx="6">
                  <c:v>333855</c:v>
                </c:pt>
              </c:numCache>
            </c:numRef>
          </c:val>
          <c:extLst>
            <c:ext xmlns:c16="http://schemas.microsoft.com/office/drawing/2014/chart" uri="{C3380CC4-5D6E-409C-BE32-E72D297353CC}">
              <c16:uniqueId val="{00000000-0733-47C8-902A-D784DDC9BDA0}"/>
            </c:ext>
          </c:extLst>
        </c:ser>
        <c:dLbls>
          <c:dLblPos val="outEnd"/>
          <c:showLegendKey val="0"/>
          <c:showVal val="1"/>
          <c:showCatName val="0"/>
          <c:showSerName val="0"/>
          <c:showPercent val="0"/>
          <c:showBubbleSize val="0"/>
        </c:dLbls>
        <c:gapWidth val="182"/>
        <c:axId val="929760031"/>
        <c:axId val="929760511"/>
      </c:barChart>
      <c:catAx>
        <c:axId val="9297600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29760511"/>
        <c:crosses val="autoZero"/>
        <c:auto val="1"/>
        <c:lblAlgn val="ctr"/>
        <c:lblOffset val="100"/>
        <c:noMultiLvlLbl val="0"/>
      </c:catAx>
      <c:valAx>
        <c:axId val="929760511"/>
        <c:scaling>
          <c:orientation val="minMax"/>
        </c:scaling>
        <c:delete val="0"/>
        <c:axPos val="b"/>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60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4F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[Dashboard_data.xlsm]KPI!PivotTable15</c:name>
    <c:fmtId val="3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00668C"/>
            </a:solidFill>
            <a:round/>
          </a:ln>
          <a:effectLst/>
        </c:spPr>
        <c:marker>
          <c:symbol val="none"/>
        </c:marker>
        <c:dLbl>
          <c:idx val="0"/>
          <c:spPr>
            <a:noFill/>
            <a:ln>
              <a:noFill/>
            </a:ln>
            <a:effectLst/>
          </c:spPr>
          <c:txPr>
            <a:bodyPr rot="0" spcFirstLastPara="1" vertOverflow="ellipsis" vert="horz" wrap="square" lIns="91440" tIns="182880" rIns="0" bIns="19050" anchor="b"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28860342969934938"/>
          <c:y val="0.1439633762784521"/>
          <c:w val="0.46713232720909886"/>
          <c:h val="0.77855387868183146"/>
        </c:manualLayout>
      </c:layout>
      <c:radarChart>
        <c:radarStyle val="marker"/>
        <c:varyColors val="0"/>
        <c:ser>
          <c:idx val="0"/>
          <c:order val="0"/>
          <c:tx>
            <c:strRef>
              <c:f>KPI!$I$84</c:f>
              <c:strCache>
                <c:ptCount val="1"/>
                <c:pt idx="0">
                  <c:v>Total</c:v>
                </c:pt>
              </c:strCache>
            </c:strRef>
          </c:tx>
          <c:spPr>
            <a:ln w="28575" cap="rnd">
              <a:solidFill>
                <a:srgbClr val="00668C"/>
              </a:solidFill>
              <a:round/>
            </a:ln>
            <a:effectLst/>
          </c:spPr>
          <c:marker>
            <c:symbol val="none"/>
          </c:marker>
          <c:dLbls>
            <c:spPr>
              <a:noFill/>
              <a:ln>
                <a:noFill/>
              </a:ln>
              <a:effectLst/>
            </c:spPr>
            <c:txPr>
              <a:bodyPr rot="0" spcFirstLastPara="1" vertOverflow="ellipsis" vert="horz" wrap="square" lIns="91440" tIns="182880" rIns="0" bIns="19050" anchor="b"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KPI!$H$85:$H$89</c:f>
              <c:strCache>
                <c:ptCount val="4"/>
                <c:pt idx="0">
                  <c:v>Bank Transfer</c:v>
                </c:pt>
                <c:pt idx="1">
                  <c:v>Cash</c:v>
                </c:pt>
                <c:pt idx="2">
                  <c:v>Credit Card</c:v>
                </c:pt>
                <c:pt idx="3">
                  <c:v>Mobile Money</c:v>
                </c:pt>
              </c:strCache>
            </c:strRef>
          </c:cat>
          <c:val>
            <c:numRef>
              <c:f>KPI!$I$85:$I$89</c:f>
              <c:numCache>
                <c:formatCode>General</c:formatCode>
                <c:ptCount val="4"/>
                <c:pt idx="0">
                  <c:v>169</c:v>
                </c:pt>
                <c:pt idx="1">
                  <c:v>130</c:v>
                </c:pt>
                <c:pt idx="2">
                  <c:v>126</c:v>
                </c:pt>
                <c:pt idx="3">
                  <c:v>144</c:v>
                </c:pt>
              </c:numCache>
            </c:numRef>
          </c:val>
          <c:extLst>
            <c:ext xmlns:c16="http://schemas.microsoft.com/office/drawing/2014/chart" uri="{C3380CC4-5D6E-409C-BE32-E72D297353CC}">
              <c16:uniqueId val="{00000000-F523-4FCE-A2D3-9DCCA114A12C}"/>
            </c:ext>
          </c:extLst>
        </c:ser>
        <c:dLbls>
          <c:showLegendKey val="0"/>
          <c:showVal val="1"/>
          <c:showCatName val="0"/>
          <c:showSerName val="0"/>
          <c:showPercent val="0"/>
          <c:showBubbleSize val="0"/>
        </c:dLbls>
        <c:axId val="842740911"/>
        <c:axId val="842741871"/>
      </c:radarChart>
      <c:catAx>
        <c:axId val="842740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horz" wrap="square" anchor="t" anchorCtr="0"/>
          <a:lstStyle/>
          <a:p>
            <a:pPr>
              <a:defRPr sz="1050" b="1" i="0" u="none" strike="noStrike" kern="1200" baseline="0">
                <a:solidFill>
                  <a:schemeClr val="tx1">
                    <a:lumMod val="65000"/>
                    <a:lumOff val="35000"/>
                  </a:schemeClr>
                </a:solidFill>
                <a:latin typeface="+mn-lt"/>
                <a:ea typeface="+mn-ea"/>
                <a:cs typeface="+mn-cs"/>
              </a:defRPr>
            </a:pPr>
            <a:endParaRPr lang="en-US"/>
          </a:p>
        </c:txPr>
        <c:crossAx val="842741871"/>
        <c:crosses val="autoZero"/>
        <c:auto val="1"/>
        <c:lblAlgn val="ctr"/>
        <c:lblOffset val="100"/>
        <c:noMultiLvlLbl val="0"/>
      </c:catAx>
      <c:valAx>
        <c:axId val="8427418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42740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4F1">
        <a:alpha val="28000"/>
      </a:srgb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image" Target="../media/image1.emf"/><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3.svg"/><Relationship Id="rId4" Type="http://schemas.openxmlformats.org/officeDocument/2006/relationships/chart" Target="../charts/chart3.xml"/><Relationship Id="rId9"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586739</xdr:colOff>
      <xdr:row>0</xdr:row>
      <xdr:rowOff>30480</xdr:rowOff>
    </xdr:from>
    <xdr:to>
      <xdr:col>23</xdr:col>
      <xdr:colOff>114300</xdr:colOff>
      <xdr:row>3</xdr:row>
      <xdr:rowOff>60960</xdr:rowOff>
    </xdr:to>
    <xdr:sp macro="" textlink="">
      <xdr:nvSpPr>
        <xdr:cNvPr id="3" name="Rectangle: Rounded Corners 2">
          <a:extLst>
            <a:ext uri="{FF2B5EF4-FFF2-40B4-BE49-F238E27FC236}">
              <a16:creationId xmlns:a16="http://schemas.microsoft.com/office/drawing/2014/main" id="{83E38B40-CDDD-40A0-9D47-442571262741}"/>
            </a:ext>
          </a:extLst>
        </xdr:cNvPr>
        <xdr:cNvSpPr/>
      </xdr:nvSpPr>
      <xdr:spPr>
        <a:xfrm>
          <a:off x="1196339" y="30480"/>
          <a:ext cx="13037821" cy="579120"/>
        </a:xfrm>
        <a:prstGeom prst="roundRect">
          <a:avLst/>
        </a:prstGeom>
        <a:solidFill>
          <a:srgbClr val="D4EA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220980</xdr:colOff>
      <xdr:row>1</xdr:row>
      <xdr:rowOff>152400</xdr:rowOff>
    </xdr:from>
    <xdr:to>
      <xdr:col>23</xdr:col>
      <xdr:colOff>289560</xdr:colOff>
      <xdr:row>10</xdr:row>
      <xdr:rowOff>144780</xdr:rowOff>
    </xdr:to>
    <xdr:grpSp>
      <xdr:nvGrpSpPr>
        <xdr:cNvPr id="43" name="Group 42">
          <a:extLst>
            <a:ext uri="{FF2B5EF4-FFF2-40B4-BE49-F238E27FC236}">
              <a16:creationId xmlns:a16="http://schemas.microsoft.com/office/drawing/2014/main" id="{0D841556-043E-0DD1-E0E8-9813B0916335}"/>
            </a:ext>
          </a:extLst>
        </xdr:cNvPr>
        <xdr:cNvGrpSpPr/>
      </xdr:nvGrpSpPr>
      <xdr:grpSpPr>
        <a:xfrm>
          <a:off x="8854440" y="335280"/>
          <a:ext cx="5554980" cy="1638300"/>
          <a:chOff x="8961120" y="160020"/>
          <a:chExt cx="5425440" cy="1851660"/>
        </a:xfrm>
      </xdr:grpSpPr>
      <xdr:sp macro="" textlink="">
        <xdr:nvSpPr>
          <xdr:cNvPr id="5" name="Rectangle: Rounded Corners 4">
            <a:extLst>
              <a:ext uri="{FF2B5EF4-FFF2-40B4-BE49-F238E27FC236}">
                <a16:creationId xmlns:a16="http://schemas.microsoft.com/office/drawing/2014/main" id="{F2B1C41D-DA32-44FC-BCFF-F4E248DB86AF}"/>
              </a:ext>
            </a:extLst>
          </xdr:cNvPr>
          <xdr:cNvSpPr/>
        </xdr:nvSpPr>
        <xdr:spPr>
          <a:xfrm>
            <a:off x="9235440" y="518160"/>
            <a:ext cx="4968240" cy="1432560"/>
          </a:xfrm>
          <a:prstGeom prst="roundRect">
            <a:avLst/>
          </a:prstGeom>
          <a:solidFill>
            <a:srgbClr val="D4EA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1" name="Chart 20">
            <a:extLst>
              <a:ext uri="{FF2B5EF4-FFF2-40B4-BE49-F238E27FC236}">
                <a16:creationId xmlns:a16="http://schemas.microsoft.com/office/drawing/2014/main" id="{D3EFA527-1FBD-45C6-AD52-7EA0186E63DE}"/>
              </a:ext>
            </a:extLst>
          </xdr:cNvPr>
          <xdr:cNvGraphicFramePr>
            <a:graphicFrameLocks/>
          </xdr:cNvGraphicFramePr>
        </xdr:nvGraphicFramePr>
        <xdr:xfrm>
          <a:off x="8961120" y="312420"/>
          <a:ext cx="2895600" cy="16002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2" name="Chart 21">
            <a:extLst>
              <a:ext uri="{FF2B5EF4-FFF2-40B4-BE49-F238E27FC236}">
                <a16:creationId xmlns:a16="http://schemas.microsoft.com/office/drawing/2014/main" id="{BD255BDC-BF4F-4BC6-8F1C-4EE188662CF4}"/>
              </a:ext>
            </a:extLst>
          </xdr:cNvPr>
          <xdr:cNvGraphicFramePr>
            <a:graphicFrameLocks/>
          </xdr:cNvGraphicFramePr>
        </xdr:nvGraphicFramePr>
        <xdr:xfrm>
          <a:off x="11033760" y="160020"/>
          <a:ext cx="3352800" cy="1699260"/>
        </xdr:xfrm>
        <a:graphic>
          <a:graphicData uri="http://schemas.openxmlformats.org/drawingml/2006/chart">
            <c:chart xmlns:c="http://schemas.openxmlformats.org/drawingml/2006/chart" xmlns:r="http://schemas.openxmlformats.org/officeDocument/2006/relationships" r:id="rId2"/>
          </a:graphicData>
        </a:graphic>
      </xdr:graphicFrame>
      <xdr:sp macro="" textlink="KPI!G12">
        <xdr:nvSpPr>
          <xdr:cNvPr id="23" name="TextBox 22">
            <a:extLst>
              <a:ext uri="{FF2B5EF4-FFF2-40B4-BE49-F238E27FC236}">
                <a16:creationId xmlns:a16="http://schemas.microsoft.com/office/drawing/2014/main" id="{DEFDE54D-A653-4F25-869A-87C75A8D068C}"/>
              </a:ext>
            </a:extLst>
          </xdr:cNvPr>
          <xdr:cNvSpPr txBox="1"/>
        </xdr:nvSpPr>
        <xdr:spPr>
          <a:xfrm>
            <a:off x="9776460" y="876300"/>
            <a:ext cx="129540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35CEDE-6F38-44A6-9E31-9A7FADCDB796}" type="TxLink">
              <a:rPr lang="en-US" sz="2000" b="1" i="0" u="none" strike="noStrike">
                <a:solidFill>
                  <a:srgbClr val="3B3C3D"/>
                </a:solidFill>
                <a:latin typeface="Calibri"/>
                <a:ea typeface="Calibri"/>
                <a:cs typeface="Calibri"/>
              </a:rPr>
              <a:pPr marL="0" indent="0" algn="ctr"/>
              <a:t>52%</a:t>
            </a:fld>
            <a:endParaRPr lang="en-US" sz="2000" b="1" i="0" u="none" strike="noStrike">
              <a:solidFill>
                <a:srgbClr val="3B3C3D"/>
              </a:solidFill>
              <a:latin typeface="Calibri"/>
              <a:ea typeface="Calibri"/>
              <a:cs typeface="Calibri"/>
            </a:endParaRPr>
          </a:p>
        </xdr:txBody>
      </xdr:sp>
      <xdr:sp macro="" textlink="KPI!J12">
        <xdr:nvSpPr>
          <xdr:cNvPr id="24" name="TextBox 23">
            <a:extLst>
              <a:ext uri="{FF2B5EF4-FFF2-40B4-BE49-F238E27FC236}">
                <a16:creationId xmlns:a16="http://schemas.microsoft.com/office/drawing/2014/main" id="{068F37E6-665F-4C9A-8F59-EC3A3C5AD851}"/>
              </a:ext>
            </a:extLst>
          </xdr:cNvPr>
          <xdr:cNvSpPr txBox="1"/>
        </xdr:nvSpPr>
        <xdr:spPr>
          <a:xfrm>
            <a:off x="12092940" y="899160"/>
            <a:ext cx="129540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996144C-FD23-4884-8732-D5D017EDDA26}" type="TxLink">
              <a:rPr lang="en-US" sz="2000" b="1" i="0" u="none" strike="noStrike">
                <a:solidFill>
                  <a:srgbClr val="3B3C3D"/>
                </a:solidFill>
                <a:latin typeface="Calibri"/>
                <a:ea typeface="Calibri"/>
                <a:cs typeface="Calibri"/>
              </a:rPr>
              <a:pPr marL="0" indent="0" algn="ctr"/>
              <a:t>48%</a:t>
            </a:fld>
            <a:endParaRPr lang="en-US" sz="2000" b="1" i="0" u="none" strike="noStrike">
              <a:solidFill>
                <a:srgbClr val="3B3C3D"/>
              </a:solidFill>
              <a:latin typeface="Calibri"/>
              <a:ea typeface="Calibri"/>
              <a:cs typeface="Calibri"/>
            </a:endParaRPr>
          </a:p>
        </xdr:txBody>
      </xdr:sp>
      <xdr:sp macro="" textlink="count">
        <xdr:nvSpPr>
          <xdr:cNvPr id="25" name="TextBox 24">
            <a:extLst>
              <a:ext uri="{FF2B5EF4-FFF2-40B4-BE49-F238E27FC236}">
                <a16:creationId xmlns:a16="http://schemas.microsoft.com/office/drawing/2014/main" id="{73E3761F-74B0-4204-BAE3-DFE6103C4B9B}"/>
              </a:ext>
            </a:extLst>
          </xdr:cNvPr>
          <xdr:cNvSpPr txBox="1"/>
        </xdr:nvSpPr>
        <xdr:spPr>
          <a:xfrm>
            <a:off x="9715500" y="1531620"/>
            <a:ext cx="150876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solidFill>
                  <a:srgbClr val="002060"/>
                </a:solidFill>
                <a:latin typeface="Calibri"/>
                <a:ea typeface="Calibri"/>
                <a:cs typeface="Calibri"/>
              </a:rPr>
              <a:t>Completed</a:t>
            </a:r>
            <a:endParaRPr lang="en-US" sz="2000" b="1">
              <a:solidFill>
                <a:srgbClr val="002060"/>
              </a:solidFill>
            </a:endParaRPr>
          </a:p>
        </xdr:txBody>
      </xdr:sp>
      <xdr:sp macro="" textlink="count">
        <xdr:nvSpPr>
          <xdr:cNvPr id="26" name="TextBox 25">
            <a:extLst>
              <a:ext uri="{FF2B5EF4-FFF2-40B4-BE49-F238E27FC236}">
                <a16:creationId xmlns:a16="http://schemas.microsoft.com/office/drawing/2014/main" id="{7B9A5C5E-859E-4D36-89DE-194EECE02FFF}"/>
              </a:ext>
            </a:extLst>
          </xdr:cNvPr>
          <xdr:cNvSpPr txBox="1"/>
        </xdr:nvSpPr>
        <xdr:spPr>
          <a:xfrm>
            <a:off x="12131040" y="1531620"/>
            <a:ext cx="129540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solidFill>
                  <a:srgbClr val="002060"/>
                </a:solidFill>
                <a:latin typeface="Calibri"/>
                <a:ea typeface="Calibri"/>
                <a:cs typeface="Calibri"/>
              </a:rPr>
              <a:t>Returned</a:t>
            </a:r>
            <a:endParaRPr lang="en-US" sz="2000" b="1">
              <a:solidFill>
                <a:srgbClr val="002060"/>
              </a:solidFill>
            </a:endParaRPr>
          </a:p>
        </xdr:txBody>
      </xdr:sp>
      <xdr:sp macro="" textlink="KPI!G12">
        <xdr:nvSpPr>
          <xdr:cNvPr id="27" name="TextBox 26">
            <a:extLst>
              <a:ext uri="{FF2B5EF4-FFF2-40B4-BE49-F238E27FC236}">
                <a16:creationId xmlns:a16="http://schemas.microsoft.com/office/drawing/2014/main" id="{E1F8CC52-5DB5-4DB5-9BA7-4B05180819D1}"/>
              </a:ext>
            </a:extLst>
          </xdr:cNvPr>
          <xdr:cNvSpPr txBox="1"/>
        </xdr:nvSpPr>
        <xdr:spPr>
          <a:xfrm>
            <a:off x="10881360" y="640080"/>
            <a:ext cx="1295400" cy="118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000" b="1" i="0" u="none" strike="noStrike">
                <a:solidFill>
                  <a:srgbClr val="002060"/>
                </a:solidFill>
                <a:latin typeface="Calibri"/>
                <a:ea typeface="Calibri"/>
                <a:cs typeface="Calibri"/>
              </a:rPr>
              <a:t>Order</a:t>
            </a:r>
          </a:p>
          <a:p>
            <a:pPr marL="0" indent="0" algn="ctr"/>
            <a:r>
              <a:rPr lang="en-US" sz="2000" b="1" i="0" u="none" strike="noStrike">
                <a:solidFill>
                  <a:srgbClr val="002060"/>
                </a:solidFill>
                <a:latin typeface="Calibri"/>
                <a:ea typeface="Calibri"/>
                <a:cs typeface="Calibri"/>
              </a:rPr>
              <a:t>by</a:t>
            </a:r>
          </a:p>
          <a:p>
            <a:pPr marL="0" indent="0" algn="ctr"/>
            <a:r>
              <a:rPr lang="en-US" sz="2000" b="1" i="0" u="none" strike="noStrike">
                <a:solidFill>
                  <a:srgbClr val="002060"/>
                </a:solidFill>
                <a:latin typeface="Calibri"/>
                <a:ea typeface="Calibri"/>
                <a:cs typeface="Calibri"/>
              </a:rPr>
              <a:t>Status</a:t>
            </a:r>
          </a:p>
        </xdr:txBody>
      </xdr:sp>
    </xdr:grpSp>
    <xdr:clientData/>
  </xdr:twoCellAnchor>
  <xdr:twoCellAnchor>
    <xdr:from>
      <xdr:col>1</xdr:col>
      <xdr:colOff>601981</xdr:colOff>
      <xdr:row>3</xdr:row>
      <xdr:rowOff>106680</xdr:rowOff>
    </xdr:from>
    <xdr:to>
      <xdr:col>14</xdr:col>
      <xdr:colOff>304800</xdr:colOff>
      <xdr:row>10</xdr:row>
      <xdr:rowOff>106680</xdr:rowOff>
    </xdr:to>
    <xdr:grpSp>
      <xdr:nvGrpSpPr>
        <xdr:cNvPr id="108" name="Group 107">
          <a:extLst>
            <a:ext uri="{FF2B5EF4-FFF2-40B4-BE49-F238E27FC236}">
              <a16:creationId xmlns:a16="http://schemas.microsoft.com/office/drawing/2014/main" id="{5B7BEEB1-6EA2-D8DB-F589-80E4B71EA4B8}"/>
            </a:ext>
          </a:extLst>
        </xdr:cNvPr>
        <xdr:cNvGrpSpPr/>
      </xdr:nvGrpSpPr>
      <xdr:grpSpPr>
        <a:xfrm>
          <a:off x="1211581" y="655320"/>
          <a:ext cx="7726679" cy="1280160"/>
          <a:chOff x="1211581" y="655320"/>
          <a:chExt cx="7726679" cy="1280160"/>
        </a:xfrm>
      </xdr:grpSpPr>
      <xdr:grpSp>
        <xdr:nvGrpSpPr>
          <xdr:cNvPr id="73" name="Group 72">
            <a:extLst>
              <a:ext uri="{FF2B5EF4-FFF2-40B4-BE49-F238E27FC236}">
                <a16:creationId xmlns:a16="http://schemas.microsoft.com/office/drawing/2014/main" id="{5B92F5CD-FBE3-E2D7-1D7B-D314D130AF34}"/>
              </a:ext>
            </a:extLst>
          </xdr:cNvPr>
          <xdr:cNvGrpSpPr/>
        </xdr:nvGrpSpPr>
        <xdr:grpSpPr>
          <a:xfrm>
            <a:off x="1211581" y="655320"/>
            <a:ext cx="7726679" cy="1280160"/>
            <a:chOff x="1394459" y="510540"/>
            <a:chExt cx="7703821" cy="1432560"/>
          </a:xfrm>
        </xdr:grpSpPr>
        <xdr:sp macro="" textlink="">
          <xdr:nvSpPr>
            <xdr:cNvPr id="4" name="Rectangle: Rounded Corners 3">
              <a:extLst>
                <a:ext uri="{FF2B5EF4-FFF2-40B4-BE49-F238E27FC236}">
                  <a16:creationId xmlns:a16="http://schemas.microsoft.com/office/drawing/2014/main" id="{8963C5DE-5408-4A96-8E9D-A1ABC1FEE49F}"/>
                </a:ext>
              </a:extLst>
            </xdr:cNvPr>
            <xdr:cNvSpPr/>
          </xdr:nvSpPr>
          <xdr:spPr>
            <a:xfrm>
              <a:off x="1394459" y="510540"/>
              <a:ext cx="7703821" cy="1432560"/>
            </a:xfrm>
            <a:prstGeom prst="roundRect">
              <a:avLst/>
            </a:prstGeom>
            <a:solidFill>
              <a:srgbClr val="D4EA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DF7CCD6B-19CF-93FE-A63E-E8532ADE477D}"/>
                </a:ext>
              </a:extLst>
            </xdr:cNvPr>
            <xdr:cNvSpPr/>
          </xdr:nvSpPr>
          <xdr:spPr>
            <a:xfrm>
              <a:off x="1798320" y="788670"/>
              <a:ext cx="1531620" cy="876300"/>
            </a:xfrm>
            <a:prstGeom prst="roundRect">
              <a:avLst/>
            </a:prstGeom>
            <a:solidFill>
              <a:srgbClr val="F5F4F1"/>
            </a:solidFill>
            <a:ln>
              <a:solidFill>
                <a:srgbClr val="A0430A"/>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400" b="1">
                  <a:solidFill>
                    <a:srgbClr val="3B3C3D"/>
                  </a:solidFill>
                  <a:latin typeface="Bahnschrift SemiBold SemiConden" panose="020B0502040204020203" pitchFamily="34" charset="0"/>
                </a:rPr>
                <a:t>Sales Revenue</a:t>
              </a:r>
            </a:p>
          </xdr:txBody>
        </xdr:sp>
        <xdr:sp macro="" textlink="">
          <xdr:nvSpPr>
            <xdr:cNvPr id="9" name="Rectangle: Rounded Corners 8">
              <a:extLst>
                <a:ext uri="{FF2B5EF4-FFF2-40B4-BE49-F238E27FC236}">
                  <a16:creationId xmlns:a16="http://schemas.microsoft.com/office/drawing/2014/main" id="{C251766A-17FF-4825-A0B4-86D99E5ABE68}"/>
                </a:ext>
              </a:extLst>
            </xdr:cNvPr>
            <xdr:cNvSpPr/>
          </xdr:nvSpPr>
          <xdr:spPr>
            <a:xfrm>
              <a:off x="3540760" y="788670"/>
              <a:ext cx="1630680" cy="876300"/>
            </a:xfrm>
            <a:prstGeom prst="roundRect">
              <a:avLst/>
            </a:prstGeom>
            <a:solidFill>
              <a:srgbClr val="F5F4F1"/>
            </a:solidFill>
            <a:ln>
              <a:solidFill>
                <a:srgbClr val="A0430A"/>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US" sz="1400" b="1">
                  <a:solidFill>
                    <a:schemeClr val="tx1"/>
                  </a:solidFill>
                  <a:latin typeface="Bahnschrift SemiBold SemiConden" panose="020B0502040204020203" pitchFamily="34" charset="0"/>
                  <a:ea typeface="+mn-ea"/>
                  <a:cs typeface="+mn-cs"/>
                </a:rPr>
                <a:t>Total Cost</a:t>
              </a:r>
            </a:p>
          </xdr:txBody>
        </xdr:sp>
        <xdr:sp macro="" textlink="KPI!A6">
          <xdr:nvSpPr>
            <xdr:cNvPr id="6" name="TextBox 5">
              <a:extLst>
                <a:ext uri="{FF2B5EF4-FFF2-40B4-BE49-F238E27FC236}">
                  <a16:creationId xmlns:a16="http://schemas.microsoft.com/office/drawing/2014/main" id="{D5214246-6A86-0C3C-6727-203BC13B4A3E}"/>
                </a:ext>
              </a:extLst>
            </xdr:cNvPr>
            <xdr:cNvSpPr txBox="1"/>
          </xdr:nvSpPr>
          <xdr:spPr>
            <a:xfrm>
              <a:off x="3655060" y="1066800"/>
              <a:ext cx="1394460" cy="480060"/>
            </a:xfrm>
            <a:prstGeom prst="rect">
              <a:avLst/>
            </a:prstGeom>
            <a:solidFill>
              <a:srgbClr val="F5F4F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0C87D5-98B4-45A6-B992-7B2558C91E5A}" type="TxLink">
                <a:rPr lang="en-US" sz="2000" b="1" i="0" u="none" strike="noStrike">
                  <a:solidFill>
                    <a:srgbClr val="002060"/>
                  </a:solidFill>
                  <a:latin typeface="Calibri"/>
                  <a:ea typeface="Calibri"/>
                  <a:cs typeface="Calibri"/>
                </a:rPr>
                <a:pPr algn="ctr"/>
                <a:t> $510,289 </a:t>
              </a:fld>
              <a:endParaRPr lang="en-US" sz="2000" b="1">
                <a:solidFill>
                  <a:srgbClr val="002060"/>
                </a:solidFill>
              </a:endParaRPr>
            </a:p>
          </xdr:txBody>
        </xdr:sp>
        <xdr:sp macro="" textlink="">
          <xdr:nvSpPr>
            <xdr:cNvPr id="10" name="Rectangle: Rounded Corners 9">
              <a:extLst>
                <a:ext uri="{FF2B5EF4-FFF2-40B4-BE49-F238E27FC236}">
                  <a16:creationId xmlns:a16="http://schemas.microsoft.com/office/drawing/2014/main" id="{968DAD93-8F75-44B4-90C0-1781D5B20611}"/>
                </a:ext>
              </a:extLst>
            </xdr:cNvPr>
            <xdr:cNvSpPr/>
          </xdr:nvSpPr>
          <xdr:spPr>
            <a:xfrm>
              <a:off x="5382260" y="788670"/>
              <a:ext cx="1531620" cy="876300"/>
            </a:xfrm>
            <a:prstGeom prst="roundRect">
              <a:avLst/>
            </a:prstGeom>
            <a:solidFill>
              <a:srgbClr val="F5F4F1"/>
            </a:solidFill>
            <a:ln>
              <a:solidFill>
                <a:srgbClr val="A0430A"/>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US" sz="1400" b="1">
                  <a:solidFill>
                    <a:schemeClr val="tx1"/>
                  </a:solidFill>
                  <a:latin typeface="Bahnschrift SemiBold SemiConden" panose="020B0502040204020203" pitchFamily="34" charset="0"/>
                  <a:ea typeface="+mn-ea"/>
                  <a:cs typeface="+mn-cs"/>
                </a:rPr>
                <a:t>Net Profit</a:t>
              </a:r>
            </a:p>
          </xdr:txBody>
        </xdr:sp>
        <xdr:sp macro="" textlink="">
          <xdr:nvSpPr>
            <xdr:cNvPr id="11" name="Rectangle: Rounded Corners 10">
              <a:extLst>
                <a:ext uri="{FF2B5EF4-FFF2-40B4-BE49-F238E27FC236}">
                  <a16:creationId xmlns:a16="http://schemas.microsoft.com/office/drawing/2014/main" id="{57CAFF1D-1023-4DFD-9F50-BB72D544657F}"/>
                </a:ext>
              </a:extLst>
            </xdr:cNvPr>
            <xdr:cNvSpPr/>
          </xdr:nvSpPr>
          <xdr:spPr>
            <a:xfrm>
              <a:off x="7124700" y="788670"/>
              <a:ext cx="1531620" cy="876300"/>
            </a:xfrm>
            <a:prstGeom prst="roundRect">
              <a:avLst/>
            </a:prstGeom>
            <a:solidFill>
              <a:srgbClr val="F5F4F1"/>
            </a:solidFill>
            <a:ln>
              <a:solidFill>
                <a:srgbClr val="A0430A"/>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US" sz="1400" b="1">
                  <a:solidFill>
                    <a:schemeClr val="tx1"/>
                  </a:solidFill>
                  <a:latin typeface="Bahnschrift SemiBold SemiConden" panose="020B0502040204020203" pitchFamily="34" charset="0"/>
                  <a:ea typeface="+mn-ea"/>
                  <a:cs typeface="+mn-cs"/>
                </a:rPr>
                <a:t>Total Orders</a:t>
              </a:r>
            </a:p>
          </xdr:txBody>
        </xdr:sp>
        <xdr:sp macro="" textlink="count">
          <xdr:nvSpPr>
            <xdr:cNvPr id="12" name="TextBox 11">
              <a:extLst>
                <a:ext uri="{FF2B5EF4-FFF2-40B4-BE49-F238E27FC236}">
                  <a16:creationId xmlns:a16="http://schemas.microsoft.com/office/drawing/2014/main" id="{A51E1648-DCF5-4110-9B7D-89F11EC40695}"/>
                </a:ext>
              </a:extLst>
            </xdr:cNvPr>
            <xdr:cNvSpPr txBox="1"/>
          </xdr:nvSpPr>
          <xdr:spPr>
            <a:xfrm>
              <a:off x="7254240" y="1066800"/>
              <a:ext cx="1295400" cy="480060"/>
            </a:xfrm>
            <a:prstGeom prst="rect">
              <a:avLst/>
            </a:prstGeom>
            <a:solidFill>
              <a:srgbClr val="F5F4F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1E8C72-9EE1-46B5-A5AC-929C4E8D7B25}" type="TxLink">
                <a:rPr lang="en-US" sz="2000" b="1" i="0" u="none" strike="noStrike">
                  <a:solidFill>
                    <a:srgbClr val="002060"/>
                  </a:solidFill>
                  <a:latin typeface="Calibri"/>
                  <a:ea typeface="Calibri"/>
                  <a:cs typeface="Calibri"/>
                </a:rPr>
                <a:pPr algn="ctr"/>
                <a:t>569</a:t>
              </a:fld>
              <a:endParaRPr lang="en-US" sz="2000" b="1">
                <a:solidFill>
                  <a:srgbClr val="002060"/>
                </a:solidFill>
              </a:endParaRPr>
            </a:p>
          </xdr:txBody>
        </xdr:sp>
        <xdr:sp macro="" textlink="profit">
          <xdr:nvSpPr>
            <xdr:cNvPr id="13" name="TextBox 12">
              <a:extLst>
                <a:ext uri="{FF2B5EF4-FFF2-40B4-BE49-F238E27FC236}">
                  <a16:creationId xmlns:a16="http://schemas.microsoft.com/office/drawing/2014/main" id="{359F11DA-436C-44DC-8F27-B542CF4B4320}"/>
                </a:ext>
              </a:extLst>
            </xdr:cNvPr>
            <xdr:cNvSpPr txBox="1"/>
          </xdr:nvSpPr>
          <xdr:spPr>
            <a:xfrm>
              <a:off x="5504180" y="1066800"/>
              <a:ext cx="1295400" cy="480060"/>
            </a:xfrm>
            <a:prstGeom prst="rect">
              <a:avLst/>
            </a:prstGeom>
            <a:solidFill>
              <a:srgbClr val="F5F4F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4E63C6-7604-4443-828A-54873A2EEFE4}" type="TxLink">
                <a:rPr lang="en-US" sz="2000" b="1" i="0" u="none" strike="noStrike">
                  <a:solidFill>
                    <a:srgbClr val="002060"/>
                  </a:solidFill>
                  <a:latin typeface="Calibri"/>
                  <a:ea typeface="Calibri"/>
                  <a:cs typeface="Calibri"/>
                </a:rPr>
                <a:pPr algn="ctr"/>
                <a:t> $276,912 </a:t>
              </a:fld>
              <a:endParaRPr lang="en-US" sz="2000" b="1">
                <a:solidFill>
                  <a:srgbClr val="002060"/>
                </a:solidFill>
              </a:endParaRPr>
            </a:p>
          </xdr:txBody>
        </xdr:sp>
        <xdr:sp macro="" textlink="sale">
          <xdr:nvSpPr>
            <xdr:cNvPr id="14" name="TextBox 13">
              <a:extLst>
                <a:ext uri="{FF2B5EF4-FFF2-40B4-BE49-F238E27FC236}">
                  <a16:creationId xmlns:a16="http://schemas.microsoft.com/office/drawing/2014/main" id="{01CC739B-88A8-4957-B168-ACE0A2323E2C}"/>
                </a:ext>
              </a:extLst>
            </xdr:cNvPr>
            <xdr:cNvSpPr txBox="1"/>
          </xdr:nvSpPr>
          <xdr:spPr>
            <a:xfrm>
              <a:off x="1905000" y="1066800"/>
              <a:ext cx="1295400" cy="480060"/>
            </a:xfrm>
            <a:prstGeom prst="rect">
              <a:avLst/>
            </a:prstGeom>
            <a:solidFill>
              <a:srgbClr val="F5F4F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355089-1379-4639-9A86-229700586830}" type="TxLink">
                <a:rPr lang="en-US" sz="2000" b="1" i="0" u="none" strike="noStrike">
                  <a:solidFill>
                    <a:srgbClr val="002060"/>
                  </a:solidFill>
                  <a:latin typeface="Calibri"/>
                  <a:ea typeface="Calibri"/>
                  <a:cs typeface="Calibri"/>
                </a:rPr>
                <a:pPr algn="ctr"/>
                <a:t> $787,201 </a:t>
              </a:fld>
              <a:endParaRPr lang="en-US" sz="2000" b="1">
                <a:solidFill>
                  <a:srgbClr val="002060"/>
                </a:solidFill>
              </a:endParaRPr>
            </a:p>
          </xdr:txBody>
        </xdr:sp>
        <xdr:cxnSp macro="">
          <xdr:nvCxnSpPr>
            <xdr:cNvPr id="16" name="Straight Connector 15">
              <a:extLst>
                <a:ext uri="{FF2B5EF4-FFF2-40B4-BE49-F238E27FC236}">
                  <a16:creationId xmlns:a16="http://schemas.microsoft.com/office/drawing/2014/main" id="{30EA7BEF-B69C-72BD-A55A-7590EE229297}"/>
                </a:ext>
              </a:extLst>
            </xdr:cNvPr>
            <xdr:cNvCxnSpPr/>
          </xdr:nvCxnSpPr>
          <xdr:spPr>
            <a:xfrm>
              <a:off x="1912620" y="1089660"/>
              <a:ext cx="1249680" cy="0"/>
            </a:xfrm>
            <a:prstGeom prst="line">
              <a:avLst/>
            </a:prstGeom>
            <a:ln w="15875"/>
          </xdr:spPr>
          <xdr:style>
            <a:lnRef idx="1">
              <a:schemeClr val="dk1"/>
            </a:lnRef>
            <a:fillRef idx="0">
              <a:schemeClr val="dk1"/>
            </a:fillRef>
            <a:effectRef idx="0">
              <a:schemeClr val="dk1"/>
            </a:effectRef>
            <a:fontRef idx="minor">
              <a:schemeClr val="tx1"/>
            </a:fontRef>
          </xdr:style>
        </xdr:cxnSp>
        <xdr:cxnSp macro="">
          <xdr:nvCxnSpPr>
            <xdr:cNvPr id="18" name="Straight Connector 17">
              <a:extLst>
                <a:ext uri="{FF2B5EF4-FFF2-40B4-BE49-F238E27FC236}">
                  <a16:creationId xmlns:a16="http://schemas.microsoft.com/office/drawing/2014/main" id="{0F845EED-B5FC-4AEC-A49A-890E84781EDA}"/>
                </a:ext>
              </a:extLst>
            </xdr:cNvPr>
            <xdr:cNvCxnSpPr/>
          </xdr:nvCxnSpPr>
          <xdr:spPr>
            <a:xfrm>
              <a:off x="3611880" y="1089660"/>
              <a:ext cx="1348740" cy="0"/>
            </a:xfrm>
            <a:prstGeom prst="line">
              <a:avLst/>
            </a:prstGeom>
            <a:ln w="15875"/>
          </xdr:spPr>
          <xdr:style>
            <a:lnRef idx="1">
              <a:schemeClr val="dk1"/>
            </a:lnRef>
            <a:fillRef idx="0">
              <a:schemeClr val="dk1"/>
            </a:fillRef>
            <a:effectRef idx="0">
              <a:schemeClr val="dk1"/>
            </a:effectRef>
            <a:fontRef idx="minor">
              <a:schemeClr val="tx1"/>
            </a:fontRef>
          </xdr:style>
        </xdr:cxnSp>
        <xdr:cxnSp macro="">
          <xdr:nvCxnSpPr>
            <xdr:cNvPr id="19" name="Straight Connector 18">
              <a:extLst>
                <a:ext uri="{FF2B5EF4-FFF2-40B4-BE49-F238E27FC236}">
                  <a16:creationId xmlns:a16="http://schemas.microsoft.com/office/drawing/2014/main" id="{721F3093-4457-4FF0-8344-AFE1C20118FD}"/>
                </a:ext>
              </a:extLst>
            </xdr:cNvPr>
            <xdr:cNvCxnSpPr/>
          </xdr:nvCxnSpPr>
          <xdr:spPr>
            <a:xfrm>
              <a:off x="7208520" y="1089660"/>
              <a:ext cx="1249680" cy="0"/>
            </a:xfrm>
            <a:prstGeom prst="line">
              <a:avLst/>
            </a:prstGeom>
            <a:ln w="15875"/>
          </xdr:spPr>
          <xdr:style>
            <a:lnRef idx="1">
              <a:schemeClr val="dk1"/>
            </a:lnRef>
            <a:fillRef idx="0">
              <a:schemeClr val="dk1"/>
            </a:fillRef>
            <a:effectRef idx="0">
              <a:schemeClr val="dk1"/>
            </a:effectRef>
            <a:fontRef idx="minor">
              <a:schemeClr val="tx1"/>
            </a:fontRef>
          </xdr:style>
        </xdr:cxnSp>
        <xdr:cxnSp macro="">
          <xdr:nvCxnSpPr>
            <xdr:cNvPr id="20" name="Straight Connector 19">
              <a:extLst>
                <a:ext uri="{FF2B5EF4-FFF2-40B4-BE49-F238E27FC236}">
                  <a16:creationId xmlns:a16="http://schemas.microsoft.com/office/drawing/2014/main" id="{D4E71B36-3CF1-4DD6-87ED-F34501A4D78C}"/>
                </a:ext>
              </a:extLst>
            </xdr:cNvPr>
            <xdr:cNvCxnSpPr/>
          </xdr:nvCxnSpPr>
          <xdr:spPr>
            <a:xfrm>
              <a:off x="5486400" y="1082040"/>
              <a:ext cx="1249680" cy="0"/>
            </a:xfrm>
            <a:prstGeom prst="line">
              <a:avLst/>
            </a:prstGeom>
            <a:ln w="15875"/>
          </xdr:spPr>
          <xdr:style>
            <a:lnRef idx="1">
              <a:schemeClr val="dk1"/>
            </a:lnRef>
            <a:fillRef idx="0">
              <a:schemeClr val="dk1"/>
            </a:fillRef>
            <a:effectRef idx="0">
              <a:schemeClr val="dk1"/>
            </a:effectRef>
            <a:fontRef idx="minor">
              <a:schemeClr val="tx1"/>
            </a:fontRef>
          </xdr:style>
        </xdr:cxnSp>
        <mc:AlternateContent xmlns:mc="http://schemas.openxmlformats.org/markup-compatibility/2006" xmlns:a14="http://schemas.microsoft.com/office/drawing/2010/main">
          <mc:Choice Requires="a14">
            <xdr:pic>
              <xdr:nvPicPr>
                <xdr:cNvPr id="30" name="Picture 29">
                  <a:extLst>
                    <a:ext uri="{FF2B5EF4-FFF2-40B4-BE49-F238E27FC236}">
                      <a16:creationId xmlns:a16="http://schemas.microsoft.com/office/drawing/2014/main" id="{0D151BAC-F093-BDE7-250C-83C9ED694924}"/>
                    </a:ext>
                  </a:extLst>
                </xdr:cNvPr>
                <xdr:cNvPicPr>
                  <a:picLocks noChangeAspect="1" noChangeArrowheads="1"/>
                  <a:extLst>
                    <a:ext uri="{84589F7E-364E-4C9E-8A38-B11213B215E9}">
                      <a14:cameraTool cellRange="KPI!$G$39" spid="_x0000_s5204"/>
                    </a:ext>
                  </a:extLst>
                </xdr:cNvPicPr>
              </xdr:nvPicPr>
              <xdr:blipFill>
                <a:blip xmlns:r="http://schemas.openxmlformats.org/officeDocument/2006/relationships" r:embed="rId3"/>
                <a:srcRect/>
                <a:stretch>
                  <a:fillRect/>
                </a:stretch>
              </xdr:blipFill>
              <xdr:spPr bwMode="auto">
                <a:xfrm>
                  <a:off x="1828800" y="1406562"/>
                  <a:ext cx="1341120" cy="254598"/>
                </a:xfrm>
                <a:prstGeom prst="rect">
                  <a:avLst/>
                </a:prstGeom>
                <a:noFill/>
                <a:ln>
                  <a:noFill/>
                </a:ln>
                <a:extLst>
                  <a:ext uri="{909E8E84-426E-40DD-AFC4-6F175D3DCCD1}">
                    <a14:hiddenFill>
                      <a:solidFill>
                        <a:srgbClr val="FFFFFF"/>
                      </a:solidFill>
                    </a14:hiddenFill>
                  </a:ext>
                </a:extLst>
              </xdr:spPr>
            </xdr:pic>
          </mc:Choice>
          <mc:Fallback xmlns=""/>
        </mc:AlternateContent>
        <xdr:sp macro="" textlink="">
          <xdr:nvSpPr>
            <xdr:cNvPr id="31" name="TextBox 30">
              <a:extLst>
                <a:ext uri="{FF2B5EF4-FFF2-40B4-BE49-F238E27FC236}">
                  <a16:creationId xmlns:a16="http://schemas.microsoft.com/office/drawing/2014/main" id="{A757CF03-0F0F-AC92-4CBD-69D1034E1F31}"/>
                </a:ext>
              </a:extLst>
            </xdr:cNvPr>
            <xdr:cNvSpPr txBox="1"/>
          </xdr:nvSpPr>
          <xdr:spPr>
            <a:xfrm>
              <a:off x="2613660" y="1363980"/>
              <a:ext cx="6934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VS LM</a:t>
              </a:r>
            </a:p>
          </xdr:txBody>
        </xdr:sp>
        <mc:AlternateContent xmlns:mc="http://schemas.openxmlformats.org/markup-compatibility/2006" xmlns:a14="http://schemas.microsoft.com/office/drawing/2010/main">
          <mc:Choice Requires="a14">
            <xdr:pic>
              <xdr:nvPicPr>
                <xdr:cNvPr id="35" name="Picture 34">
                  <a:extLst>
                    <a:ext uri="{FF2B5EF4-FFF2-40B4-BE49-F238E27FC236}">
                      <a16:creationId xmlns:a16="http://schemas.microsoft.com/office/drawing/2014/main" id="{C7F0FD7C-7C59-3821-2A88-65025953FC4D}"/>
                    </a:ext>
                  </a:extLst>
                </xdr:cNvPr>
                <xdr:cNvPicPr>
                  <a:picLocks noChangeAspect="1" noChangeArrowheads="1"/>
                  <a:extLst>
                    <a:ext uri="{84589F7E-364E-4C9E-8A38-B11213B215E9}">
                      <a14:cameraTool cellRange="KPI!$G$44" spid="_x0000_s5205"/>
                    </a:ext>
                  </a:extLst>
                </xdr:cNvPicPr>
              </xdr:nvPicPr>
              <xdr:blipFill>
                <a:blip xmlns:r="http://schemas.openxmlformats.org/officeDocument/2006/relationships" r:embed="rId3"/>
                <a:srcRect/>
                <a:stretch>
                  <a:fillRect/>
                </a:stretch>
              </xdr:blipFill>
              <xdr:spPr bwMode="auto">
                <a:xfrm>
                  <a:off x="3589020" y="1417320"/>
                  <a:ext cx="1424940" cy="228600"/>
                </a:xfrm>
                <a:prstGeom prst="rect">
                  <a:avLst/>
                </a:prstGeom>
                <a:solidFill>
                  <a:srgbClr val="F5F4F1"/>
                </a:solidFill>
              </xdr:spPr>
            </xdr:pic>
          </mc:Choice>
          <mc:Fallback xmlns=""/>
        </mc:AlternateContent>
        <xdr:sp macro="" textlink="">
          <xdr:nvSpPr>
            <xdr:cNvPr id="37" name="TextBox 36">
              <a:extLst>
                <a:ext uri="{FF2B5EF4-FFF2-40B4-BE49-F238E27FC236}">
                  <a16:creationId xmlns:a16="http://schemas.microsoft.com/office/drawing/2014/main" id="{B9CB6FDC-019F-4E5D-8233-39ADDA3B6EC8}"/>
                </a:ext>
              </a:extLst>
            </xdr:cNvPr>
            <xdr:cNvSpPr txBox="1"/>
          </xdr:nvSpPr>
          <xdr:spPr>
            <a:xfrm>
              <a:off x="4427220" y="1379220"/>
              <a:ext cx="6934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VS LM</a:t>
              </a:r>
            </a:p>
          </xdr:txBody>
        </xdr:sp>
        <mc:AlternateContent xmlns:mc="http://schemas.openxmlformats.org/markup-compatibility/2006" xmlns:a14="http://schemas.microsoft.com/office/drawing/2010/main">
          <mc:Choice Requires="a14">
            <xdr:pic>
              <xdr:nvPicPr>
                <xdr:cNvPr id="39" name="Picture 38">
                  <a:extLst>
                    <a:ext uri="{FF2B5EF4-FFF2-40B4-BE49-F238E27FC236}">
                      <a16:creationId xmlns:a16="http://schemas.microsoft.com/office/drawing/2014/main" id="{73390443-C09A-F977-237F-5890A8A96684}"/>
                    </a:ext>
                  </a:extLst>
                </xdr:cNvPr>
                <xdr:cNvPicPr>
                  <a:picLocks noChangeAspect="1" noChangeArrowheads="1"/>
                  <a:extLst>
                    <a:ext uri="{84589F7E-364E-4C9E-8A38-B11213B215E9}">
                      <a14:cameraTool cellRange="KPI!$G$49" spid="_x0000_s5206"/>
                    </a:ext>
                  </a:extLst>
                </xdr:cNvPicPr>
              </xdr:nvPicPr>
              <xdr:blipFill>
                <a:blip xmlns:r="http://schemas.openxmlformats.org/officeDocument/2006/relationships" r:embed="rId3"/>
                <a:srcRect/>
                <a:stretch>
                  <a:fillRect/>
                </a:stretch>
              </xdr:blipFill>
              <xdr:spPr bwMode="auto">
                <a:xfrm>
                  <a:off x="5410200" y="1432560"/>
                  <a:ext cx="1424940" cy="198120"/>
                </a:xfrm>
                <a:prstGeom prst="rect">
                  <a:avLst/>
                </a:prstGeom>
                <a:noFill/>
                <a:extLst>
                  <a:ext uri="{909E8E84-426E-40DD-AFC4-6F175D3DCCD1}">
                    <a14:hiddenFill>
                      <a:solidFill>
                        <a:srgbClr val="FFFFFF"/>
                      </a:solidFill>
                    </a14:hiddenFill>
                  </a:ext>
                </a:extLst>
              </xdr:spPr>
            </xdr:pic>
          </mc:Choice>
          <mc:Fallback xmlns=""/>
        </mc:AlternateContent>
      </xdr:grpSp>
      <xdr:sp macro="" textlink="">
        <xdr:nvSpPr>
          <xdr:cNvPr id="38" name="TextBox 37">
            <a:extLst>
              <a:ext uri="{FF2B5EF4-FFF2-40B4-BE49-F238E27FC236}">
                <a16:creationId xmlns:a16="http://schemas.microsoft.com/office/drawing/2014/main" id="{6B602B70-5E34-4BD0-BD1E-1E78C8DE015E}"/>
              </a:ext>
            </a:extLst>
          </xdr:cNvPr>
          <xdr:cNvSpPr txBox="1"/>
        </xdr:nvSpPr>
        <xdr:spPr>
          <a:xfrm>
            <a:off x="6088380" y="1424940"/>
            <a:ext cx="6934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VS LM</a:t>
            </a:r>
          </a:p>
        </xdr:txBody>
      </xdr:sp>
    </xdr:grpSp>
    <xdr:clientData/>
  </xdr:twoCellAnchor>
  <xdr:twoCellAnchor editAs="oneCell">
    <xdr:from>
      <xdr:col>12</xdr:col>
      <xdr:colOff>518160</xdr:colOff>
      <xdr:row>0</xdr:row>
      <xdr:rowOff>121921</xdr:rowOff>
    </xdr:from>
    <xdr:to>
      <xdr:col>23</xdr:col>
      <xdr:colOff>22860</xdr:colOff>
      <xdr:row>2</xdr:row>
      <xdr:rowOff>144780</xdr:rowOff>
    </xdr:to>
    <mc:AlternateContent xmlns:mc="http://schemas.openxmlformats.org/markup-compatibility/2006" xmlns:a14="http://schemas.microsoft.com/office/drawing/2010/main">
      <mc:Choice Requires="a14">
        <xdr:graphicFrame macro="">
          <xdr:nvGraphicFramePr>
            <xdr:cNvPr id="40" name="Month">
              <a:extLst>
                <a:ext uri="{FF2B5EF4-FFF2-40B4-BE49-F238E27FC236}">
                  <a16:creationId xmlns:a16="http://schemas.microsoft.com/office/drawing/2014/main" id="{F9254852-25D9-4034-A687-FF9B51CDAEB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932420" y="121921"/>
              <a:ext cx="6210300" cy="3886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472440</xdr:colOff>
      <xdr:row>0</xdr:row>
      <xdr:rowOff>106681</xdr:rowOff>
    </xdr:from>
    <xdr:to>
      <xdr:col>12</xdr:col>
      <xdr:colOff>426720</xdr:colOff>
      <xdr:row>2</xdr:row>
      <xdr:rowOff>144780</xdr:rowOff>
    </xdr:to>
    <mc:AlternateContent xmlns:mc="http://schemas.openxmlformats.org/markup-compatibility/2006" xmlns:a14="http://schemas.microsoft.com/office/drawing/2010/main">
      <mc:Choice Requires="a14">
        <xdr:graphicFrame macro="">
          <xdr:nvGraphicFramePr>
            <xdr:cNvPr id="41" name="Year">
              <a:extLst>
                <a:ext uri="{FF2B5EF4-FFF2-40B4-BE49-F238E27FC236}">
                  <a16:creationId xmlns:a16="http://schemas.microsoft.com/office/drawing/2014/main" id="{9F9904F8-681E-4E97-A3E9-EBC9FCEE23C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057900" y="106681"/>
              <a:ext cx="1783080" cy="4038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5079</xdr:colOff>
      <xdr:row>0</xdr:row>
      <xdr:rowOff>6775</xdr:rowOff>
    </xdr:from>
    <xdr:to>
      <xdr:col>1</xdr:col>
      <xdr:colOff>533036</xdr:colOff>
      <xdr:row>35</xdr:row>
      <xdr:rowOff>29635</xdr:rowOff>
    </xdr:to>
    <xdr:grpSp>
      <xdr:nvGrpSpPr>
        <xdr:cNvPr id="118" name="Group 117">
          <a:extLst>
            <a:ext uri="{FF2B5EF4-FFF2-40B4-BE49-F238E27FC236}">
              <a16:creationId xmlns:a16="http://schemas.microsoft.com/office/drawing/2014/main" id="{5FFB9D0F-C4CA-2322-4C9B-1238CA425984}"/>
            </a:ext>
          </a:extLst>
        </xdr:cNvPr>
        <xdr:cNvGrpSpPr/>
      </xdr:nvGrpSpPr>
      <xdr:grpSpPr>
        <a:xfrm>
          <a:off x="5079" y="6775"/>
          <a:ext cx="1137557" cy="6461760"/>
          <a:chOff x="5079" y="6922"/>
          <a:chExt cx="1137557" cy="6461760"/>
        </a:xfrm>
        <a:solidFill>
          <a:srgbClr val="D4EAF7"/>
        </a:solidFill>
      </xdr:grpSpPr>
      <xdr:sp macro="" textlink="">
        <xdr:nvSpPr>
          <xdr:cNvPr id="2" name="Rectangle: Rounded Corners 1">
            <a:extLst>
              <a:ext uri="{FF2B5EF4-FFF2-40B4-BE49-F238E27FC236}">
                <a16:creationId xmlns:a16="http://schemas.microsoft.com/office/drawing/2014/main" id="{58A02568-5C4A-02F6-48D7-23E7BC8411E7}"/>
              </a:ext>
            </a:extLst>
          </xdr:cNvPr>
          <xdr:cNvSpPr/>
        </xdr:nvSpPr>
        <xdr:spPr>
          <a:xfrm>
            <a:off x="5079" y="6922"/>
            <a:ext cx="1137557" cy="6461760"/>
          </a:xfrm>
          <a:prstGeom prst="roundRect">
            <a:avLst>
              <a:gd name="adj" fmla="val 3940"/>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lt1"/>
              </a:solidFill>
            </a:endParaRPr>
          </a:p>
        </xdr:txBody>
      </xdr:sp>
      <mc:AlternateContent xmlns:mc="http://schemas.openxmlformats.org/markup-compatibility/2006">
        <mc:Choice xmlns:a14="http://schemas.microsoft.com/office/drawing/2010/main" Requires="a14">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68581" y="1079394"/>
                <a:ext cx="1013460" cy="383694"/>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3333"/>
                    </a:solidFill>
                    <a:latin typeface="Calibri"/>
                    <a:ea typeface="Calibri"/>
                    <a:cs typeface="Calibri"/>
                  </a:rPr>
                  <a:t>Refresh</a:t>
                </a:r>
              </a:p>
            </xdr:txBody>
          </xdr:sp>
        </mc:Choice>
        <mc:Fallback/>
      </mc:AlternateContent>
      <mc:AlternateContent xmlns:mc="http://schemas.openxmlformats.org/markup-compatibility/2006">
        <mc:Choice xmlns:a14="http://schemas.microsoft.com/office/drawing/2010/main" Requires="a14">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74507" y="2179320"/>
                <a:ext cx="1013460" cy="383694"/>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3333"/>
                    </a:solidFill>
                    <a:latin typeface="Calibri"/>
                    <a:ea typeface="Calibri"/>
                    <a:cs typeface="Calibri"/>
                  </a:rPr>
                  <a:t>Sales Data</a:t>
                </a:r>
              </a:p>
            </xdr:txBody>
          </xdr:sp>
        </mc:Choice>
        <mc:Fallback/>
      </mc:AlternateContent>
      <mc:AlternateContent xmlns:mc="http://schemas.openxmlformats.org/markup-compatibility/2006">
        <mc:Choice xmlns:a14="http://schemas.microsoft.com/office/drawing/2010/main" Requires="a14">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74507" y="4587240"/>
                <a:ext cx="1013460" cy="383694"/>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3333"/>
                    </a:solidFill>
                    <a:latin typeface="Calibri"/>
                    <a:ea typeface="Calibri"/>
                    <a:cs typeface="Calibri"/>
                  </a:rPr>
                  <a:t>Sales Form</a:t>
                </a:r>
              </a:p>
            </xdr:txBody>
          </xdr:sp>
        </mc:Choice>
        <mc:Fallback/>
      </mc:AlternateContent>
      <mc:AlternateContent xmlns:mc="http://schemas.openxmlformats.org/markup-compatibility/2006">
        <mc:Choice xmlns:a14="http://schemas.microsoft.com/office/drawing/2010/main" Requires="a14">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73660" y="3398520"/>
                <a:ext cx="1013460" cy="383694"/>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3333"/>
                    </a:solidFill>
                    <a:latin typeface="Calibri"/>
                    <a:ea typeface="Calibri"/>
                    <a:cs typeface="Calibri"/>
                  </a:rPr>
                  <a:t>Analysis</a:t>
                </a:r>
              </a:p>
            </xdr:txBody>
          </xdr:sp>
        </mc:Choice>
        <mc:Fallback/>
      </mc:AlternateContent>
    </xdr:grpSp>
    <xdr:clientData/>
  </xdr:twoCellAnchor>
  <xdr:twoCellAnchor>
    <xdr:from>
      <xdr:col>19</xdr:col>
      <xdr:colOff>403859</xdr:colOff>
      <xdr:row>10</xdr:row>
      <xdr:rowOff>160020</xdr:rowOff>
    </xdr:from>
    <xdr:to>
      <xdr:col>23</xdr:col>
      <xdr:colOff>114300</xdr:colOff>
      <xdr:row>36</xdr:row>
      <xdr:rowOff>7620</xdr:rowOff>
    </xdr:to>
    <xdr:sp macro="" textlink="">
      <xdr:nvSpPr>
        <xdr:cNvPr id="109" name="Rectangle: Rounded Corners 108">
          <a:extLst>
            <a:ext uri="{FF2B5EF4-FFF2-40B4-BE49-F238E27FC236}">
              <a16:creationId xmlns:a16="http://schemas.microsoft.com/office/drawing/2014/main" id="{F54E2B6E-0B05-4BB6-90A0-B8CD83301BE8}"/>
            </a:ext>
          </a:extLst>
        </xdr:cNvPr>
        <xdr:cNvSpPr/>
      </xdr:nvSpPr>
      <xdr:spPr>
        <a:xfrm>
          <a:off x="12085319" y="1988820"/>
          <a:ext cx="2148841" cy="464058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19</xdr:col>
      <xdr:colOff>551179</xdr:colOff>
      <xdr:row>25</xdr:row>
      <xdr:rowOff>30480</xdr:rowOff>
    </xdr:from>
    <xdr:to>
      <xdr:col>22</xdr:col>
      <xdr:colOff>551179</xdr:colOff>
      <xdr:row>35</xdr:row>
      <xdr:rowOff>15240</xdr:rowOff>
    </xdr:to>
    <mc:AlternateContent xmlns:mc="http://schemas.openxmlformats.org/markup-compatibility/2006" xmlns:a14="http://schemas.microsoft.com/office/drawing/2010/main">
      <mc:Choice Requires="a14">
        <xdr:graphicFrame macro="">
          <xdr:nvGraphicFramePr>
            <xdr:cNvPr id="110" name="Product Category">
              <a:extLst>
                <a:ext uri="{FF2B5EF4-FFF2-40B4-BE49-F238E27FC236}">
                  <a16:creationId xmlns:a16="http://schemas.microsoft.com/office/drawing/2014/main" id="{BD4F65CF-239E-4760-B4C0-FD764AF11702}"/>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2235179" y="4721013"/>
              <a:ext cx="1828800" cy="18474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588433</xdr:colOff>
      <xdr:row>12</xdr:row>
      <xdr:rowOff>5080</xdr:rowOff>
    </xdr:from>
    <xdr:to>
      <xdr:col>22</xdr:col>
      <xdr:colOff>588433</xdr:colOff>
      <xdr:row>24</xdr:row>
      <xdr:rowOff>122767</xdr:rowOff>
    </xdr:to>
    <mc:AlternateContent xmlns:mc="http://schemas.openxmlformats.org/markup-compatibility/2006" xmlns:a14="http://schemas.microsoft.com/office/drawing/2010/main">
      <mc:Choice Requires="a14">
        <xdr:graphicFrame macro="">
          <xdr:nvGraphicFramePr>
            <xdr:cNvPr id="111" name="Country">
              <a:extLst>
                <a:ext uri="{FF2B5EF4-FFF2-40B4-BE49-F238E27FC236}">
                  <a16:creationId xmlns:a16="http://schemas.microsoft.com/office/drawing/2014/main" id="{764EDB7B-BE45-4F7E-B3E2-9DB89F864FC9}"/>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2272433" y="2240280"/>
              <a:ext cx="1828800" cy="23867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7620</xdr:colOff>
      <xdr:row>11</xdr:row>
      <xdr:rowOff>0</xdr:rowOff>
    </xdr:from>
    <xdr:to>
      <xdr:col>6</xdr:col>
      <xdr:colOff>304800</xdr:colOff>
      <xdr:row>35</xdr:row>
      <xdr:rowOff>83820</xdr:rowOff>
    </xdr:to>
    <xdr:sp macro="" textlink="">
      <xdr:nvSpPr>
        <xdr:cNvPr id="113" name="Rectangle: Rounded Corners 112">
          <a:extLst>
            <a:ext uri="{FF2B5EF4-FFF2-40B4-BE49-F238E27FC236}">
              <a16:creationId xmlns:a16="http://schemas.microsoft.com/office/drawing/2014/main" id="{42A9ECC9-A761-47A4-A06A-AFADB9873FC0}"/>
            </a:ext>
          </a:extLst>
        </xdr:cNvPr>
        <xdr:cNvSpPr/>
      </xdr:nvSpPr>
      <xdr:spPr>
        <a:xfrm>
          <a:off x="1226820" y="2011680"/>
          <a:ext cx="2735580" cy="4511040"/>
        </a:xfrm>
        <a:prstGeom prst="roundRect">
          <a:avLst>
            <a:gd name="adj" fmla="val 651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365760</xdr:colOff>
      <xdr:row>23</xdr:row>
      <xdr:rowOff>68580</xdr:rowOff>
    </xdr:from>
    <xdr:to>
      <xdr:col>13</xdr:col>
      <xdr:colOff>251460</xdr:colOff>
      <xdr:row>35</xdr:row>
      <xdr:rowOff>99060</xdr:rowOff>
    </xdr:to>
    <xdr:sp macro="" textlink="">
      <xdr:nvSpPr>
        <xdr:cNvPr id="115" name="Rectangle: Rounded Corners 114">
          <a:extLst>
            <a:ext uri="{FF2B5EF4-FFF2-40B4-BE49-F238E27FC236}">
              <a16:creationId xmlns:a16="http://schemas.microsoft.com/office/drawing/2014/main" id="{B17DF971-5863-443F-A802-9F65B88484F7}"/>
            </a:ext>
          </a:extLst>
        </xdr:cNvPr>
        <xdr:cNvSpPr/>
      </xdr:nvSpPr>
      <xdr:spPr>
        <a:xfrm>
          <a:off x="4023360" y="4312920"/>
          <a:ext cx="4251960" cy="2225040"/>
        </a:xfrm>
        <a:prstGeom prst="roundRect">
          <a:avLst>
            <a:gd name="adj" fmla="val 4681"/>
          </a:avLst>
        </a:prstGeom>
        <a:solidFill>
          <a:srgbClr val="F5F4F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13</xdr:col>
      <xdr:colOff>358140</xdr:colOff>
      <xdr:row>10</xdr:row>
      <xdr:rowOff>175260</xdr:rowOff>
    </xdr:from>
    <xdr:to>
      <xdr:col>19</xdr:col>
      <xdr:colOff>327660</xdr:colOff>
      <xdr:row>22</xdr:row>
      <xdr:rowOff>167640</xdr:rowOff>
    </xdr:to>
    <xdr:sp macro="" textlink="">
      <xdr:nvSpPr>
        <xdr:cNvPr id="116" name="Rectangle: Rounded Corners 115">
          <a:extLst>
            <a:ext uri="{FF2B5EF4-FFF2-40B4-BE49-F238E27FC236}">
              <a16:creationId xmlns:a16="http://schemas.microsoft.com/office/drawing/2014/main" id="{9BD8C94C-8FF7-4C2B-8BEE-2F51B172413C}"/>
            </a:ext>
          </a:extLst>
        </xdr:cNvPr>
        <xdr:cNvSpPr/>
      </xdr:nvSpPr>
      <xdr:spPr>
        <a:xfrm>
          <a:off x="8382000" y="2004060"/>
          <a:ext cx="3627120" cy="2225040"/>
        </a:xfrm>
        <a:prstGeom prst="roundRect">
          <a:avLst>
            <a:gd name="adj" fmla="val 7078"/>
          </a:avLst>
        </a:prstGeom>
        <a:solidFill>
          <a:srgbClr val="F5F4F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358140</xdr:colOff>
      <xdr:row>23</xdr:row>
      <xdr:rowOff>60960</xdr:rowOff>
    </xdr:from>
    <xdr:to>
      <xdr:col>19</xdr:col>
      <xdr:colOff>327660</xdr:colOff>
      <xdr:row>35</xdr:row>
      <xdr:rowOff>121920</xdr:rowOff>
    </xdr:to>
    <xdr:sp macro="" textlink="">
      <xdr:nvSpPr>
        <xdr:cNvPr id="117" name="Rectangle: Rounded Corners 116">
          <a:extLst>
            <a:ext uri="{FF2B5EF4-FFF2-40B4-BE49-F238E27FC236}">
              <a16:creationId xmlns:a16="http://schemas.microsoft.com/office/drawing/2014/main" id="{77D60B74-110C-44CC-A3D5-81C70ED075A8}"/>
            </a:ext>
          </a:extLst>
        </xdr:cNvPr>
        <xdr:cNvSpPr/>
      </xdr:nvSpPr>
      <xdr:spPr>
        <a:xfrm>
          <a:off x="8382000" y="4305300"/>
          <a:ext cx="3627120" cy="2255520"/>
        </a:xfrm>
        <a:prstGeom prst="roundRect">
          <a:avLst>
            <a:gd name="adj" fmla="val 5181"/>
          </a:avLst>
        </a:prstGeom>
        <a:solidFill>
          <a:srgbClr val="F5F4F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373380</xdr:colOff>
      <xdr:row>11</xdr:row>
      <xdr:rowOff>0</xdr:rowOff>
    </xdr:from>
    <xdr:to>
      <xdr:col>13</xdr:col>
      <xdr:colOff>248151</xdr:colOff>
      <xdr:row>22</xdr:row>
      <xdr:rowOff>175260</xdr:rowOff>
    </xdr:to>
    <xdr:sp macro="" textlink="">
      <xdr:nvSpPr>
        <xdr:cNvPr id="114" name="Rectangle: Rounded Corners 113">
          <a:extLst>
            <a:ext uri="{FF2B5EF4-FFF2-40B4-BE49-F238E27FC236}">
              <a16:creationId xmlns:a16="http://schemas.microsoft.com/office/drawing/2014/main" id="{AF34FCA6-B561-4BD6-9320-1953351C7CF9}"/>
            </a:ext>
          </a:extLst>
        </xdr:cNvPr>
        <xdr:cNvSpPr/>
      </xdr:nvSpPr>
      <xdr:spPr>
        <a:xfrm>
          <a:off x="4030980" y="2011680"/>
          <a:ext cx="4241031" cy="2225040"/>
        </a:xfrm>
        <a:prstGeom prst="roundRect">
          <a:avLst>
            <a:gd name="adj" fmla="val 7078"/>
          </a:avLst>
        </a:prstGeom>
        <a:solidFill>
          <a:srgbClr val="F5F4F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6</xdr:col>
      <xdr:colOff>430581</xdr:colOff>
      <xdr:row>12</xdr:row>
      <xdr:rowOff>53340</xdr:rowOff>
    </xdr:from>
    <xdr:to>
      <xdr:col>13</xdr:col>
      <xdr:colOff>297180</xdr:colOff>
      <xdr:row>22</xdr:row>
      <xdr:rowOff>121920</xdr:rowOff>
    </xdr:to>
    <xdr:graphicFrame macro="">
      <xdr:nvGraphicFramePr>
        <xdr:cNvPr id="119" name="Chart 118">
          <a:extLst>
            <a:ext uri="{FF2B5EF4-FFF2-40B4-BE49-F238E27FC236}">
              <a16:creationId xmlns:a16="http://schemas.microsoft.com/office/drawing/2014/main" id="{DA48AD2B-E6BA-42C5-A082-831CA145DA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536811</xdr:colOff>
      <xdr:row>11</xdr:row>
      <xdr:rowOff>0</xdr:rowOff>
    </xdr:from>
    <xdr:to>
      <xdr:col>12</xdr:col>
      <xdr:colOff>539061</xdr:colOff>
      <xdr:row>12</xdr:row>
      <xdr:rowOff>76200</xdr:rowOff>
    </xdr:to>
    <xdr:sp macro="" textlink="">
      <xdr:nvSpPr>
        <xdr:cNvPr id="120" name="TextBox 119">
          <a:extLst>
            <a:ext uri="{FF2B5EF4-FFF2-40B4-BE49-F238E27FC236}">
              <a16:creationId xmlns:a16="http://schemas.microsoft.com/office/drawing/2014/main" id="{53E35085-2DEB-DACE-6E81-31D46E7D2A9B}"/>
            </a:ext>
          </a:extLst>
        </xdr:cNvPr>
        <xdr:cNvSpPr txBox="1"/>
      </xdr:nvSpPr>
      <xdr:spPr>
        <a:xfrm>
          <a:off x="4194411" y="2011680"/>
          <a:ext cx="375891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002060"/>
              </a:solidFill>
            </a:rPr>
            <a:t>Cost,</a:t>
          </a:r>
          <a:r>
            <a:rPr lang="en-US" sz="1300" b="1" baseline="0">
              <a:solidFill>
                <a:srgbClr val="002060"/>
              </a:solidFill>
            </a:rPr>
            <a:t> Revenue &amp; Profit by Category</a:t>
          </a:r>
          <a:endParaRPr lang="en-US" sz="1300" b="1">
            <a:solidFill>
              <a:srgbClr val="002060"/>
            </a:solidFill>
          </a:endParaRPr>
        </a:p>
      </xdr:txBody>
    </xdr:sp>
    <xdr:clientData/>
  </xdr:twoCellAnchor>
  <xdr:twoCellAnchor>
    <xdr:from>
      <xdr:col>6</xdr:col>
      <xdr:colOff>358140</xdr:colOff>
      <xdr:row>24</xdr:row>
      <xdr:rowOff>144780</xdr:rowOff>
    </xdr:from>
    <xdr:to>
      <xdr:col>13</xdr:col>
      <xdr:colOff>266700</xdr:colOff>
      <xdr:row>35</xdr:row>
      <xdr:rowOff>53340</xdr:rowOff>
    </xdr:to>
    <xdr:graphicFrame macro="">
      <xdr:nvGraphicFramePr>
        <xdr:cNvPr id="122" name="Chart 121">
          <a:extLst>
            <a:ext uri="{FF2B5EF4-FFF2-40B4-BE49-F238E27FC236}">
              <a16:creationId xmlns:a16="http://schemas.microsoft.com/office/drawing/2014/main" id="{C29A324E-D123-43A8-83A5-137B9742AF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457200</xdr:colOff>
      <xdr:row>23</xdr:row>
      <xdr:rowOff>38100</xdr:rowOff>
    </xdr:from>
    <xdr:to>
      <xdr:col>13</xdr:col>
      <xdr:colOff>22860</xdr:colOff>
      <xdr:row>25</xdr:row>
      <xdr:rowOff>38100</xdr:rowOff>
    </xdr:to>
    <xdr:sp macro="" textlink="">
      <xdr:nvSpPr>
        <xdr:cNvPr id="5120" name="TextBox 5119">
          <a:extLst>
            <a:ext uri="{FF2B5EF4-FFF2-40B4-BE49-F238E27FC236}">
              <a16:creationId xmlns:a16="http://schemas.microsoft.com/office/drawing/2014/main" id="{123F730C-D3E7-088E-BBA6-C108636A49C0}"/>
            </a:ext>
          </a:extLst>
        </xdr:cNvPr>
        <xdr:cNvSpPr txBox="1"/>
      </xdr:nvSpPr>
      <xdr:spPr>
        <a:xfrm>
          <a:off x="4114800" y="4282440"/>
          <a:ext cx="393192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002060"/>
              </a:solidFill>
              <a:latin typeface="+mn-lt"/>
              <a:ea typeface="+mn-ea"/>
              <a:cs typeface="+mn-cs"/>
            </a:rPr>
            <a:t>Monthlt</a:t>
          </a:r>
          <a:r>
            <a:rPr lang="en-US" sz="1300"/>
            <a:t> </a:t>
          </a:r>
          <a:r>
            <a:rPr lang="en-US" sz="1300" b="1">
              <a:solidFill>
                <a:srgbClr val="002060"/>
              </a:solidFill>
              <a:latin typeface="+mn-lt"/>
              <a:ea typeface="+mn-ea"/>
              <a:cs typeface="+mn-cs"/>
            </a:rPr>
            <a:t>Revenue</a:t>
          </a:r>
          <a:r>
            <a:rPr lang="en-US" sz="1300"/>
            <a:t>, </a:t>
          </a:r>
          <a:r>
            <a:rPr lang="en-US" sz="1300" b="1">
              <a:solidFill>
                <a:srgbClr val="002060"/>
              </a:solidFill>
              <a:latin typeface="+mn-lt"/>
              <a:ea typeface="+mn-ea"/>
              <a:cs typeface="+mn-cs"/>
            </a:rPr>
            <a:t>Cost</a:t>
          </a:r>
          <a:r>
            <a:rPr lang="en-US" sz="1300"/>
            <a:t> </a:t>
          </a:r>
          <a:r>
            <a:rPr lang="en-US" sz="1300" b="1">
              <a:solidFill>
                <a:srgbClr val="002060"/>
              </a:solidFill>
            </a:rPr>
            <a:t>&amp;</a:t>
          </a:r>
          <a:r>
            <a:rPr lang="en-US" sz="1300"/>
            <a:t> </a:t>
          </a:r>
          <a:r>
            <a:rPr lang="en-US" sz="1300" b="1">
              <a:solidFill>
                <a:srgbClr val="002060"/>
              </a:solidFill>
              <a:latin typeface="+mn-lt"/>
              <a:ea typeface="+mn-ea"/>
              <a:cs typeface="+mn-cs"/>
            </a:rPr>
            <a:t>Sales</a:t>
          </a:r>
          <a:r>
            <a:rPr lang="en-US" sz="1300"/>
            <a:t> </a:t>
          </a:r>
          <a:r>
            <a:rPr lang="en-US" sz="1300" b="1">
              <a:solidFill>
                <a:srgbClr val="002060"/>
              </a:solidFill>
              <a:latin typeface="+mn-lt"/>
              <a:ea typeface="+mn-ea"/>
              <a:cs typeface="+mn-cs"/>
            </a:rPr>
            <a:t>Trend</a:t>
          </a:r>
        </a:p>
      </xdr:txBody>
    </xdr:sp>
    <xdr:clientData/>
  </xdr:twoCellAnchor>
  <xdr:twoCellAnchor>
    <xdr:from>
      <xdr:col>13</xdr:col>
      <xdr:colOff>358140</xdr:colOff>
      <xdr:row>12</xdr:row>
      <xdr:rowOff>30480</xdr:rowOff>
    </xdr:from>
    <xdr:to>
      <xdr:col>19</xdr:col>
      <xdr:colOff>274320</xdr:colOff>
      <xdr:row>22</xdr:row>
      <xdr:rowOff>144780</xdr:rowOff>
    </xdr:to>
    <xdr:graphicFrame macro="">
      <xdr:nvGraphicFramePr>
        <xdr:cNvPr id="5121" name="Chart 5120">
          <a:extLst>
            <a:ext uri="{FF2B5EF4-FFF2-40B4-BE49-F238E27FC236}">
              <a16:creationId xmlns:a16="http://schemas.microsoft.com/office/drawing/2014/main" id="{DBC8ADEC-090D-4808-99F4-81553B530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342900</xdr:colOff>
      <xdr:row>11</xdr:row>
      <xdr:rowOff>7620</xdr:rowOff>
    </xdr:from>
    <xdr:to>
      <xdr:col>20</xdr:col>
      <xdr:colOff>7620</xdr:colOff>
      <xdr:row>13</xdr:row>
      <xdr:rowOff>7620</xdr:rowOff>
    </xdr:to>
    <xdr:sp macro="" textlink="">
      <xdr:nvSpPr>
        <xdr:cNvPr id="5124" name="TextBox 5123">
          <a:extLst>
            <a:ext uri="{FF2B5EF4-FFF2-40B4-BE49-F238E27FC236}">
              <a16:creationId xmlns:a16="http://schemas.microsoft.com/office/drawing/2014/main" id="{44BE0AD1-40EB-C74E-6D34-F08CCC2AD7BC}"/>
            </a:ext>
          </a:extLst>
        </xdr:cNvPr>
        <xdr:cNvSpPr txBox="1"/>
      </xdr:nvSpPr>
      <xdr:spPr>
        <a:xfrm>
          <a:off x="8366760" y="2019300"/>
          <a:ext cx="393192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002060"/>
              </a:solidFill>
              <a:latin typeface="+mn-lt"/>
              <a:ea typeface="+mn-ea"/>
              <a:cs typeface="+mn-cs"/>
            </a:rPr>
            <a:t>Daily Revenue Trend</a:t>
          </a:r>
        </a:p>
      </xdr:txBody>
    </xdr:sp>
    <xdr:clientData/>
  </xdr:twoCellAnchor>
  <xdr:twoCellAnchor>
    <xdr:from>
      <xdr:col>2</xdr:col>
      <xdr:colOff>7620</xdr:colOff>
      <xdr:row>11</xdr:row>
      <xdr:rowOff>39445</xdr:rowOff>
    </xdr:from>
    <xdr:to>
      <xdr:col>6</xdr:col>
      <xdr:colOff>259976</xdr:colOff>
      <xdr:row>35</xdr:row>
      <xdr:rowOff>35858</xdr:rowOff>
    </xdr:to>
    <xdr:graphicFrame macro="">
      <xdr:nvGraphicFramePr>
        <xdr:cNvPr id="5127" name="Chart 5126">
          <a:extLst>
            <a:ext uri="{FF2B5EF4-FFF2-40B4-BE49-F238E27FC236}">
              <a16:creationId xmlns:a16="http://schemas.microsoft.com/office/drawing/2014/main" id="{2EA3E357-288D-4FD9-97B7-A461CE36FB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466165</xdr:colOff>
      <xdr:row>23</xdr:row>
      <xdr:rowOff>100853</xdr:rowOff>
    </xdr:from>
    <xdr:to>
      <xdr:col>19</xdr:col>
      <xdr:colOff>277907</xdr:colOff>
      <xdr:row>35</xdr:row>
      <xdr:rowOff>75303</xdr:rowOff>
    </xdr:to>
    <xdr:graphicFrame macro="">
      <xdr:nvGraphicFramePr>
        <xdr:cNvPr id="5128" name="Chart 5127">
          <a:extLst>
            <a:ext uri="{FF2B5EF4-FFF2-40B4-BE49-F238E27FC236}">
              <a16:creationId xmlns:a16="http://schemas.microsoft.com/office/drawing/2014/main" id="{F4B9602C-4C8D-4E0E-A56E-98F3ECEC5B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314325</xdr:colOff>
      <xdr:row>23</xdr:row>
      <xdr:rowOff>74295</xdr:rowOff>
    </xdr:from>
    <xdr:to>
      <xdr:col>19</xdr:col>
      <xdr:colOff>588645</xdr:colOff>
      <xdr:row>25</xdr:row>
      <xdr:rowOff>74295</xdr:rowOff>
    </xdr:to>
    <xdr:sp macro="" textlink="">
      <xdr:nvSpPr>
        <xdr:cNvPr id="5129" name="TextBox 5128">
          <a:extLst>
            <a:ext uri="{FF2B5EF4-FFF2-40B4-BE49-F238E27FC236}">
              <a16:creationId xmlns:a16="http://schemas.microsoft.com/office/drawing/2014/main" id="{B8A32B0F-4D3C-B54D-4977-F64FB978CCE9}"/>
            </a:ext>
          </a:extLst>
        </xdr:cNvPr>
        <xdr:cNvSpPr txBox="1"/>
      </xdr:nvSpPr>
      <xdr:spPr>
        <a:xfrm>
          <a:off x="8334375" y="4274820"/>
          <a:ext cx="393192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002060"/>
              </a:solidFill>
              <a:latin typeface="+mn-lt"/>
              <a:ea typeface="+mn-ea"/>
              <a:cs typeface="+mn-cs"/>
            </a:rPr>
            <a:t>Orders by Payment Method</a:t>
          </a:r>
        </a:p>
      </xdr:txBody>
    </xdr:sp>
    <xdr:clientData/>
  </xdr:twoCellAnchor>
  <xdr:twoCellAnchor>
    <xdr:from>
      <xdr:col>2</xdr:col>
      <xdr:colOff>9525</xdr:colOff>
      <xdr:row>11</xdr:row>
      <xdr:rowOff>7620</xdr:rowOff>
    </xdr:from>
    <xdr:to>
      <xdr:col>6</xdr:col>
      <xdr:colOff>247650</xdr:colOff>
      <xdr:row>13</xdr:row>
      <xdr:rowOff>7620</xdr:rowOff>
    </xdr:to>
    <xdr:sp macro="" textlink="">
      <xdr:nvSpPr>
        <xdr:cNvPr id="5130" name="TextBox 5129">
          <a:extLst>
            <a:ext uri="{FF2B5EF4-FFF2-40B4-BE49-F238E27FC236}">
              <a16:creationId xmlns:a16="http://schemas.microsoft.com/office/drawing/2014/main" id="{45AE99B9-227D-92B7-0D1E-5DF1294C03C6}"/>
            </a:ext>
          </a:extLst>
        </xdr:cNvPr>
        <xdr:cNvSpPr txBox="1"/>
      </xdr:nvSpPr>
      <xdr:spPr>
        <a:xfrm>
          <a:off x="1228725" y="1998345"/>
          <a:ext cx="26765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002060"/>
              </a:solidFill>
              <a:latin typeface="+mn-lt"/>
              <a:ea typeface="+mn-ea"/>
              <a:cs typeface="+mn-cs"/>
            </a:rPr>
            <a:t>Revenue by Country</a:t>
          </a:r>
        </a:p>
      </xdr:txBody>
    </xdr:sp>
    <xdr:clientData/>
  </xdr:twoCellAnchor>
  <xdr:twoCellAnchor editAs="oneCell">
    <xdr:from>
      <xdr:col>0</xdr:col>
      <xdr:colOff>209550</xdr:colOff>
      <xdr:row>0</xdr:row>
      <xdr:rowOff>47625</xdr:rowOff>
    </xdr:from>
    <xdr:to>
      <xdr:col>1</xdr:col>
      <xdr:colOff>390525</xdr:colOff>
      <xdr:row>4</xdr:row>
      <xdr:rowOff>114300</xdr:rowOff>
    </xdr:to>
    <xdr:pic>
      <xdr:nvPicPr>
        <xdr:cNvPr id="5132" name="Graphic 5131" descr="Coins with solid fill">
          <a:extLst>
            <a:ext uri="{FF2B5EF4-FFF2-40B4-BE49-F238E27FC236}">
              <a16:creationId xmlns:a16="http://schemas.microsoft.com/office/drawing/2014/main" id="{1AE1DBFD-7024-8475-8DDE-ED72D8E5AC1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09550" y="47625"/>
          <a:ext cx="790575" cy="790575"/>
        </a:xfrm>
        <a:prstGeom prst="rect">
          <a:avLst/>
        </a:prstGeom>
      </xdr:spPr>
    </xdr:pic>
    <xdr:clientData/>
  </xdr:twoCellAnchor>
  <xdr:twoCellAnchor>
    <xdr:from>
      <xdr:col>2</xdr:col>
      <xdr:colOff>114300</xdr:colOff>
      <xdr:row>0</xdr:row>
      <xdr:rowOff>104775</xdr:rowOff>
    </xdr:from>
    <xdr:to>
      <xdr:col>9</xdr:col>
      <xdr:colOff>400050</xdr:colOff>
      <xdr:row>2</xdr:row>
      <xdr:rowOff>142875</xdr:rowOff>
    </xdr:to>
    <xdr:sp macro="" textlink="">
      <xdr:nvSpPr>
        <xdr:cNvPr id="5133" name="TextBox 5132">
          <a:extLst>
            <a:ext uri="{FF2B5EF4-FFF2-40B4-BE49-F238E27FC236}">
              <a16:creationId xmlns:a16="http://schemas.microsoft.com/office/drawing/2014/main" id="{7768F59C-77C9-FAA0-796B-A43E400CE82F}"/>
            </a:ext>
          </a:extLst>
        </xdr:cNvPr>
        <xdr:cNvSpPr txBox="1"/>
      </xdr:nvSpPr>
      <xdr:spPr>
        <a:xfrm>
          <a:off x="1333500" y="104775"/>
          <a:ext cx="46482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rgbClr val="1D1C1C"/>
              </a:solidFill>
            </a:rPr>
            <a:t>Sales</a:t>
          </a:r>
          <a:r>
            <a:rPr lang="en-US" sz="2800" b="1" baseline="0">
              <a:solidFill>
                <a:srgbClr val="1D1C1C"/>
              </a:solidFill>
            </a:rPr>
            <a:t> Analytics Dashboard</a:t>
          </a:r>
          <a:endParaRPr lang="en-US" sz="2800" b="1">
            <a:solidFill>
              <a:srgbClr val="1D1C1C"/>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1066800</xdr:colOff>
          <xdr:row>16</xdr:row>
          <xdr:rowOff>68580</xdr:rowOff>
        </xdr:from>
        <xdr:to>
          <xdr:col>10</xdr:col>
          <xdr:colOff>381000</xdr:colOff>
          <xdr:row>16</xdr:row>
          <xdr:rowOff>358140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Submit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hil Sahu" refreshedDate="45748.664495833335" createdVersion="8" refreshedVersion="8" minRefreshableVersion="3" recordCount="569" xr:uid="{7AE992FC-AFA7-427C-97B0-6339A31479D0}">
  <cacheSource type="worksheet">
    <worksheetSource name="Table1"/>
  </cacheSource>
  <cacheFields count="17">
    <cacheField name="Customer Name" numFmtId="0">
      <sharedItems/>
    </cacheField>
    <cacheField name="Product Category" numFmtId="0">
      <sharedItems count="5">
        <s v="Home Decor"/>
        <s v="Electronics"/>
        <s v="Books"/>
        <s v="Apparel"/>
        <s v="Groceries"/>
      </sharedItems>
    </cacheField>
    <cacheField name="Product Name" numFmtId="0">
      <sharedItems/>
    </cacheField>
    <cacheField name="Order Date" numFmtId="14">
      <sharedItems containsSemiMixedTypes="0" containsNonDate="0" containsDate="1" containsString="0" minDate="2024-01-01T00:00:00" maxDate="2025-12-29T00:00:00"/>
    </cacheField>
    <cacheField name="Delivered Date" numFmtId="14">
      <sharedItems containsSemiMixedTypes="0" containsNonDate="0" containsDate="1" containsString="0" minDate="2024-01-10T00:00:00" maxDate="2026-01-01T00:00:00"/>
    </cacheField>
    <cacheField name="Quantity" numFmtId="0">
      <sharedItems containsSemiMixedTypes="0" containsString="0" containsNumber="1" containsInteger="1" minValue="1" maxValue="15"/>
    </cacheField>
    <cacheField name="Unit Price" numFmtId="0">
      <sharedItems containsSemiMixedTypes="0" containsString="0" containsNumber="1" containsInteger="1" minValue="10" maxValue="998"/>
    </cacheField>
    <cacheField name="Status" numFmtId="0">
      <sharedItems containsMixedTypes="1" containsNumber="1" containsInteger="1" minValue="0" maxValue="0" count="3">
        <s v="Completed"/>
        <s v="Returned"/>
        <n v="0"/>
      </sharedItems>
    </cacheField>
    <cacheField name="Country" numFmtId="0">
      <sharedItems count="7">
        <s v="China"/>
        <s v="United Kingdom"/>
        <s v="Nigeria"/>
        <s v="Antarctica"/>
        <s v="Australia"/>
        <s v="Brazil"/>
        <s v="United States"/>
      </sharedItems>
    </cacheField>
    <cacheField name="Payment Method" numFmtId="0">
      <sharedItems count="4">
        <s v="Cash"/>
        <s v="Credit Card"/>
        <s v="Mobile Money"/>
        <s v="Bank Transfer"/>
      </sharedItems>
    </cacheField>
    <cacheField name="Year" numFmtId="0">
      <sharedItems containsSemiMixedTypes="0" containsString="0" containsNumber="1" containsInteger="1" minValue="2024" maxValue="2025" count="2">
        <n v="2024"/>
        <n v="2025"/>
      </sharedItems>
    </cacheField>
    <cacheField name="Month" numFmtId="0">
      <sharedItems count="12">
        <s v="Aug"/>
        <s v="May"/>
        <s v="Jun"/>
        <s v="Nov"/>
        <s v="Oct"/>
        <s v="Apr"/>
        <s v="Jan"/>
        <s v="Jul"/>
        <s v="Dec"/>
        <s v="Sep"/>
        <s v="Mar"/>
        <s v="Feb"/>
      </sharedItems>
    </cacheField>
    <cacheField name="Day" numFmtId="0">
      <sharedItems count="7">
        <s v="Wed"/>
        <s v="Thu"/>
        <s v="Sun"/>
        <s v="Mon"/>
        <s v="Tue"/>
        <s v="Sat"/>
        <s v="Fri"/>
      </sharedItems>
    </cacheField>
    <cacheField name="Delivery Time" numFmtId="0">
      <sharedItems containsSemiMixedTypes="0" containsString="0" containsNumber="1" containsInteger="1" minValue="1" maxValue="22"/>
    </cacheField>
    <cacheField name="Total Cost" numFmtId="0">
      <sharedItems containsSemiMixedTypes="0" containsString="0" containsNumber="1" containsInteger="1" minValue="6" maxValue="7305"/>
    </cacheField>
    <cacheField name="Sales Revenue" numFmtId="0">
      <sharedItems containsSemiMixedTypes="0" containsString="0" containsNumber="1" containsInteger="1" minValue="10" maxValue="12000"/>
    </cacheField>
    <cacheField name="Net Profit" numFmtId="0">
      <sharedItems containsSemiMixedTypes="0" containsString="0" containsNumber="1" containsInteger="1" minValue="4" maxValue="5400"/>
    </cacheField>
  </cacheFields>
  <extLst>
    <ext xmlns:x14="http://schemas.microsoft.com/office/spreadsheetml/2009/9/main" uri="{725AE2AE-9491-48be-B2B4-4EB974FC3084}">
      <x14:pivotCacheDefinition pivotCacheId="17414932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9">
  <r>
    <s v="Aaron Bell"/>
    <x v="0"/>
    <s v="Curtains"/>
    <d v="2024-08-14T00:00:00"/>
    <d v="2024-08-21T00:00:00"/>
    <n v="9"/>
    <n v="732"/>
    <x v="0"/>
    <x v="0"/>
    <x v="0"/>
    <x v="0"/>
    <x v="0"/>
    <x v="0"/>
    <n v="7"/>
    <n v="4282"/>
    <n v="6588"/>
    <n v="2306"/>
  </r>
  <r>
    <s v="Aaron Bell"/>
    <x v="1"/>
    <s v="Smartphone"/>
    <d v="2025-05-22T00:00:00"/>
    <d v="2025-05-29T00:00:00"/>
    <n v="8"/>
    <n v="453"/>
    <x v="1"/>
    <x v="1"/>
    <x v="1"/>
    <x v="1"/>
    <x v="1"/>
    <x v="1"/>
    <n v="7"/>
    <n v="2718"/>
    <n v="3624"/>
    <n v="906"/>
  </r>
  <r>
    <s v="Aaron Robinson"/>
    <x v="2"/>
    <s v="Non-Fiction"/>
    <d v="2024-06-27T00:00:00"/>
    <d v="2024-07-05T00:00:00"/>
    <n v="6"/>
    <n v="754"/>
    <x v="0"/>
    <x v="1"/>
    <x v="2"/>
    <x v="0"/>
    <x v="2"/>
    <x v="1"/>
    <n v="8"/>
    <n v="2262"/>
    <n v="4524"/>
    <n v="2262"/>
  </r>
  <r>
    <s v="Aaron Rubio"/>
    <x v="3"/>
    <s v="Jacket"/>
    <d v="2024-11-10T00:00:00"/>
    <d v="2024-11-18T00:00:00"/>
    <n v="9"/>
    <n v="105"/>
    <x v="1"/>
    <x v="2"/>
    <x v="0"/>
    <x v="0"/>
    <x v="3"/>
    <x v="2"/>
    <n v="8"/>
    <n v="756"/>
    <n v="945"/>
    <n v="189"/>
  </r>
  <r>
    <s v="Abigail Davis"/>
    <x v="2"/>
    <s v="Fiction"/>
    <d v="2025-10-23T00:00:00"/>
    <d v="2025-11-02T00:00:00"/>
    <n v="1"/>
    <n v="950"/>
    <x v="0"/>
    <x v="1"/>
    <x v="1"/>
    <x v="1"/>
    <x v="4"/>
    <x v="1"/>
    <n v="10"/>
    <n v="475"/>
    <n v="950"/>
    <n v="475"/>
  </r>
  <r>
    <s v="Adam Fisher"/>
    <x v="1"/>
    <s v="Tablet"/>
    <d v="2024-04-15T00:00:00"/>
    <d v="2024-04-18T00:00:00"/>
    <n v="9"/>
    <n v="631"/>
    <x v="1"/>
    <x v="3"/>
    <x v="1"/>
    <x v="0"/>
    <x v="5"/>
    <x v="3"/>
    <n v="3"/>
    <n v="3975"/>
    <n v="5679"/>
    <n v="1704"/>
  </r>
  <r>
    <s v="Akbar Amen"/>
    <x v="2"/>
    <s v="Biography"/>
    <d v="2024-04-15T00:00:00"/>
    <d v="2024-04-20T00:00:00"/>
    <n v="1"/>
    <n v="150"/>
    <x v="0"/>
    <x v="4"/>
    <x v="0"/>
    <x v="0"/>
    <x v="5"/>
    <x v="3"/>
    <n v="5"/>
    <n v="83"/>
    <n v="150"/>
    <n v="67"/>
  </r>
  <r>
    <s v="Alan Bowen"/>
    <x v="3"/>
    <s v="Jeans"/>
    <d v="2025-08-12T00:00:00"/>
    <d v="2025-08-22T00:00:00"/>
    <n v="7"/>
    <n v="894"/>
    <x v="0"/>
    <x v="0"/>
    <x v="2"/>
    <x v="1"/>
    <x v="0"/>
    <x v="4"/>
    <n v="10"/>
    <n v="4381"/>
    <n v="6258"/>
    <n v="1877"/>
  </r>
  <r>
    <s v="Alan Nunez"/>
    <x v="4"/>
    <s v="Rice"/>
    <d v="2024-01-06T00:00:00"/>
    <d v="2024-01-14T00:00:00"/>
    <n v="2"/>
    <n v="274"/>
    <x v="1"/>
    <x v="5"/>
    <x v="1"/>
    <x v="0"/>
    <x v="6"/>
    <x v="5"/>
    <n v="8"/>
    <n v="329"/>
    <n v="548"/>
    <n v="219"/>
  </r>
  <r>
    <s v="Alex Nguyen"/>
    <x v="2"/>
    <s v="Biography"/>
    <d v="2024-11-14T00:00:00"/>
    <d v="2024-11-18T00:00:00"/>
    <n v="8"/>
    <n v="650"/>
    <x v="0"/>
    <x v="0"/>
    <x v="0"/>
    <x v="0"/>
    <x v="3"/>
    <x v="1"/>
    <n v="4"/>
    <n v="2860"/>
    <n v="5200"/>
    <n v="2340"/>
  </r>
  <r>
    <s v="Alex Wagner"/>
    <x v="3"/>
    <s v="Dress"/>
    <d v="2024-11-24T00:00:00"/>
    <d v="2024-11-27T00:00:00"/>
    <n v="1"/>
    <n v="546"/>
    <x v="1"/>
    <x v="4"/>
    <x v="0"/>
    <x v="0"/>
    <x v="3"/>
    <x v="2"/>
    <n v="3"/>
    <n v="382"/>
    <n v="546"/>
    <n v="164"/>
  </r>
  <r>
    <s v="Alexandra Bradley"/>
    <x v="2"/>
    <s v="Biography"/>
    <d v="2024-01-24T00:00:00"/>
    <d v="2024-02-07T00:00:00"/>
    <n v="4"/>
    <n v="414"/>
    <x v="0"/>
    <x v="2"/>
    <x v="2"/>
    <x v="0"/>
    <x v="6"/>
    <x v="0"/>
    <n v="14"/>
    <n v="911"/>
    <n v="1656"/>
    <n v="745"/>
  </r>
  <r>
    <s v="Alexandra Clark"/>
    <x v="2"/>
    <s v="Children's Book"/>
    <d v="2024-04-21T00:00:00"/>
    <d v="2024-04-27T00:00:00"/>
    <n v="2"/>
    <n v="928"/>
    <x v="0"/>
    <x v="5"/>
    <x v="2"/>
    <x v="0"/>
    <x v="5"/>
    <x v="2"/>
    <n v="6"/>
    <n v="1114"/>
    <n v="1856"/>
    <n v="742"/>
  </r>
  <r>
    <s v="Alexis Thomas"/>
    <x v="4"/>
    <s v="Cereal"/>
    <d v="2024-07-07T00:00:00"/>
    <d v="2024-07-15T00:00:00"/>
    <n v="3"/>
    <n v="630"/>
    <x v="0"/>
    <x v="2"/>
    <x v="2"/>
    <x v="0"/>
    <x v="7"/>
    <x v="2"/>
    <n v="8"/>
    <n v="1040"/>
    <n v="1890"/>
    <n v="850"/>
  </r>
  <r>
    <s v="Alicia Hubbard"/>
    <x v="0"/>
    <s v="Cushion"/>
    <d v="2024-06-12T00:00:00"/>
    <d v="2024-06-16T00:00:00"/>
    <n v="9"/>
    <n v="92"/>
    <x v="0"/>
    <x v="4"/>
    <x v="1"/>
    <x v="0"/>
    <x v="2"/>
    <x v="0"/>
    <n v="4"/>
    <n v="538"/>
    <n v="828"/>
    <n v="290"/>
  </r>
  <r>
    <s v="Alicia Hubbard"/>
    <x v="0"/>
    <s v="Vase"/>
    <d v="2025-10-12T00:00:00"/>
    <d v="2025-10-25T00:00:00"/>
    <n v="5"/>
    <n v="758"/>
    <x v="1"/>
    <x v="4"/>
    <x v="1"/>
    <x v="1"/>
    <x v="4"/>
    <x v="2"/>
    <n v="13"/>
    <n v="2843"/>
    <n v="3790"/>
    <n v="947"/>
  </r>
  <r>
    <s v="Alicia Powell"/>
    <x v="2"/>
    <s v="Cookbook"/>
    <d v="2024-10-31T00:00:00"/>
    <d v="2024-11-14T00:00:00"/>
    <n v="7"/>
    <n v="802"/>
    <x v="1"/>
    <x v="6"/>
    <x v="1"/>
    <x v="0"/>
    <x v="4"/>
    <x v="1"/>
    <n v="14"/>
    <n v="3649"/>
    <n v="5614"/>
    <n v="1965"/>
  </r>
  <r>
    <s v="Alison Williams"/>
    <x v="4"/>
    <s v="Milk"/>
    <d v="2024-12-29T00:00:00"/>
    <d v="2025-01-02T00:00:00"/>
    <n v="8"/>
    <n v="510"/>
    <x v="1"/>
    <x v="5"/>
    <x v="2"/>
    <x v="0"/>
    <x v="8"/>
    <x v="2"/>
    <n v="4"/>
    <n v="2040"/>
    <n v="4080"/>
    <n v="2040"/>
  </r>
  <r>
    <s v="Allison Doyle"/>
    <x v="0"/>
    <s v="Table Lamp"/>
    <d v="2025-09-02T00:00:00"/>
    <d v="2025-09-16T00:00:00"/>
    <n v="2"/>
    <n v="530"/>
    <x v="1"/>
    <x v="0"/>
    <x v="1"/>
    <x v="1"/>
    <x v="9"/>
    <x v="4"/>
    <n v="14"/>
    <n v="795"/>
    <n v="1060"/>
    <n v="265"/>
  </r>
  <r>
    <s v="Allison Hill"/>
    <x v="1"/>
    <s v="Smartphone"/>
    <d v="2024-05-20T00:00:00"/>
    <d v="2024-05-24T00:00:00"/>
    <n v="4"/>
    <n v="238"/>
    <x v="0"/>
    <x v="4"/>
    <x v="2"/>
    <x v="0"/>
    <x v="1"/>
    <x v="3"/>
    <n v="4"/>
    <n v="714"/>
    <n v="952"/>
    <n v="238"/>
  </r>
  <r>
    <s v="Amanda Jones"/>
    <x v="3"/>
    <s v="Sneakers"/>
    <d v="2025-01-26T00:00:00"/>
    <d v="2025-01-29T00:00:00"/>
    <n v="4"/>
    <n v="200"/>
    <x v="0"/>
    <x v="1"/>
    <x v="3"/>
    <x v="1"/>
    <x v="6"/>
    <x v="2"/>
    <n v="3"/>
    <n v="600"/>
    <n v="800"/>
    <n v="200"/>
  </r>
  <r>
    <s v="Amanda Juarez"/>
    <x v="4"/>
    <s v="Cereal"/>
    <d v="2025-04-23T00:00:00"/>
    <d v="2025-05-02T00:00:00"/>
    <n v="4"/>
    <n v="689"/>
    <x v="1"/>
    <x v="1"/>
    <x v="1"/>
    <x v="1"/>
    <x v="5"/>
    <x v="0"/>
    <n v="9"/>
    <n v="1516"/>
    <n v="2756"/>
    <n v="1240"/>
  </r>
  <r>
    <s v="Amanda Mcfarland"/>
    <x v="3"/>
    <s v="Jeans"/>
    <d v="2025-03-21T00:00:00"/>
    <d v="2025-03-30T00:00:00"/>
    <n v="6"/>
    <n v="565"/>
    <x v="0"/>
    <x v="1"/>
    <x v="3"/>
    <x v="1"/>
    <x v="10"/>
    <x v="6"/>
    <n v="9"/>
    <n v="2373"/>
    <n v="3390"/>
    <n v="1017"/>
  </r>
  <r>
    <s v="Amanda Miller"/>
    <x v="2"/>
    <s v="Cookbook"/>
    <d v="2024-08-04T00:00:00"/>
    <d v="2024-08-16T00:00:00"/>
    <n v="4"/>
    <n v="961"/>
    <x v="1"/>
    <x v="2"/>
    <x v="2"/>
    <x v="0"/>
    <x v="0"/>
    <x v="2"/>
    <n v="12"/>
    <n v="2499"/>
    <n v="3844"/>
    <n v="1345"/>
  </r>
  <r>
    <s v="Amanda Miller"/>
    <x v="0"/>
    <s v="Table Lamp"/>
    <d v="2025-02-03T00:00:00"/>
    <d v="2025-02-08T00:00:00"/>
    <n v="7"/>
    <n v="811"/>
    <x v="1"/>
    <x v="0"/>
    <x v="2"/>
    <x v="1"/>
    <x v="11"/>
    <x v="3"/>
    <n v="5"/>
    <n v="4258"/>
    <n v="5677"/>
    <n v="1419"/>
  </r>
  <r>
    <s v="Amanda Shaw"/>
    <x v="3"/>
    <s v="Jeans"/>
    <d v="2024-03-05T00:00:00"/>
    <d v="2024-03-14T00:00:00"/>
    <n v="8"/>
    <n v="695"/>
    <x v="0"/>
    <x v="4"/>
    <x v="1"/>
    <x v="0"/>
    <x v="10"/>
    <x v="4"/>
    <n v="9"/>
    <n v="3892"/>
    <n v="5560"/>
    <n v="1668"/>
  </r>
  <r>
    <s v="Amy Grant"/>
    <x v="4"/>
    <s v="Cereal"/>
    <d v="2024-04-29T00:00:00"/>
    <d v="2024-05-14T00:00:00"/>
    <n v="2"/>
    <n v="976"/>
    <x v="1"/>
    <x v="5"/>
    <x v="3"/>
    <x v="0"/>
    <x v="5"/>
    <x v="3"/>
    <n v="15"/>
    <n v="1074"/>
    <n v="1952"/>
    <n v="878"/>
  </r>
  <r>
    <s v="Ana Sanders"/>
    <x v="4"/>
    <s v="Juice"/>
    <d v="2025-09-13T00:00:00"/>
    <d v="2025-09-22T00:00:00"/>
    <n v="9"/>
    <n v="605"/>
    <x v="1"/>
    <x v="0"/>
    <x v="3"/>
    <x v="1"/>
    <x v="9"/>
    <x v="5"/>
    <n v="9"/>
    <n v="2995"/>
    <n v="5445"/>
    <n v="2450"/>
  </r>
  <r>
    <s v="Andre Wright"/>
    <x v="3"/>
    <s v="T-Shirt"/>
    <d v="2024-07-14T00:00:00"/>
    <d v="2024-07-22T00:00:00"/>
    <n v="1"/>
    <n v="889"/>
    <x v="0"/>
    <x v="0"/>
    <x v="2"/>
    <x v="0"/>
    <x v="7"/>
    <x v="2"/>
    <n v="8"/>
    <n v="578"/>
    <n v="889"/>
    <n v="311"/>
  </r>
  <r>
    <s v="Andre Wright"/>
    <x v="2"/>
    <s v="Fiction"/>
    <d v="2025-08-02T00:00:00"/>
    <d v="2025-08-06T00:00:00"/>
    <n v="1"/>
    <n v="98"/>
    <x v="1"/>
    <x v="0"/>
    <x v="3"/>
    <x v="1"/>
    <x v="0"/>
    <x v="5"/>
    <n v="4"/>
    <n v="49"/>
    <n v="98"/>
    <n v="49"/>
  </r>
  <r>
    <s v="Andrea Figueroa"/>
    <x v="1"/>
    <s v="Headphones"/>
    <d v="2024-06-14T00:00:00"/>
    <d v="2024-06-19T00:00:00"/>
    <n v="10"/>
    <n v="266"/>
    <x v="0"/>
    <x v="4"/>
    <x v="2"/>
    <x v="0"/>
    <x v="2"/>
    <x v="6"/>
    <n v="5"/>
    <n v="1729"/>
    <n v="2660"/>
    <n v="931"/>
  </r>
  <r>
    <s v="Andrew Cruz"/>
    <x v="3"/>
    <s v="T-Shirt"/>
    <d v="2025-02-28T00:00:00"/>
    <d v="2025-03-06T00:00:00"/>
    <n v="7"/>
    <n v="996"/>
    <x v="0"/>
    <x v="6"/>
    <x v="2"/>
    <x v="1"/>
    <x v="11"/>
    <x v="6"/>
    <n v="6"/>
    <n v="4532"/>
    <n v="6972"/>
    <n v="2440"/>
  </r>
  <r>
    <s v="Andrew Mitchell"/>
    <x v="4"/>
    <s v="Milk"/>
    <d v="2024-10-11T00:00:00"/>
    <d v="2024-10-23T00:00:00"/>
    <n v="9"/>
    <n v="265"/>
    <x v="0"/>
    <x v="5"/>
    <x v="0"/>
    <x v="0"/>
    <x v="4"/>
    <x v="6"/>
    <n v="12"/>
    <n v="1193"/>
    <n v="2385"/>
    <n v="1192"/>
  </r>
  <r>
    <s v="Andrew Stewart"/>
    <x v="0"/>
    <s v="Vase"/>
    <d v="2024-07-04T00:00:00"/>
    <d v="2024-07-10T00:00:00"/>
    <n v="10"/>
    <n v="206"/>
    <x v="0"/>
    <x v="2"/>
    <x v="0"/>
    <x v="0"/>
    <x v="7"/>
    <x v="1"/>
    <n v="6"/>
    <n v="1545"/>
    <n v="2060"/>
    <n v="515"/>
  </r>
  <r>
    <s v="Andrew Williams"/>
    <x v="3"/>
    <s v="Jeans"/>
    <d v="2025-02-16T00:00:00"/>
    <d v="2025-02-22T00:00:00"/>
    <n v="6"/>
    <n v="678"/>
    <x v="1"/>
    <x v="4"/>
    <x v="3"/>
    <x v="1"/>
    <x v="11"/>
    <x v="2"/>
    <n v="6"/>
    <n v="2848"/>
    <n v="4068"/>
    <n v="1220"/>
  </r>
  <r>
    <s v="Angel Lewis MD"/>
    <x v="3"/>
    <s v="Jeans"/>
    <d v="2024-02-02T00:00:00"/>
    <d v="2024-02-12T00:00:00"/>
    <n v="6"/>
    <n v="31"/>
    <x v="0"/>
    <x v="2"/>
    <x v="0"/>
    <x v="0"/>
    <x v="11"/>
    <x v="6"/>
    <n v="10"/>
    <n v="130"/>
    <n v="186"/>
    <n v="56"/>
  </r>
  <r>
    <s v="Angel Lewis MD"/>
    <x v="0"/>
    <s v="Vase"/>
    <d v="2025-03-25T00:00:00"/>
    <d v="2025-04-05T00:00:00"/>
    <n v="3"/>
    <n v="774"/>
    <x v="1"/>
    <x v="6"/>
    <x v="1"/>
    <x v="1"/>
    <x v="10"/>
    <x v="4"/>
    <n v="11"/>
    <n v="1742"/>
    <n v="2322"/>
    <n v="580"/>
  </r>
  <r>
    <s v="Angel Powers"/>
    <x v="1"/>
    <s v="Smartphone"/>
    <d v="2024-06-24T00:00:00"/>
    <d v="2024-06-29T00:00:00"/>
    <n v="2"/>
    <n v="703"/>
    <x v="1"/>
    <x v="1"/>
    <x v="0"/>
    <x v="0"/>
    <x v="2"/>
    <x v="3"/>
    <n v="5"/>
    <n v="1055"/>
    <n v="1406"/>
    <n v="351"/>
  </r>
  <r>
    <s v="Angela Jones"/>
    <x v="0"/>
    <s v="Cushion"/>
    <d v="2024-04-10T00:00:00"/>
    <d v="2024-04-20T00:00:00"/>
    <n v="8"/>
    <n v="126"/>
    <x v="1"/>
    <x v="6"/>
    <x v="2"/>
    <x v="0"/>
    <x v="5"/>
    <x v="0"/>
    <n v="10"/>
    <n v="655"/>
    <n v="1008"/>
    <n v="353"/>
  </r>
  <r>
    <s v="Angela Osborn"/>
    <x v="3"/>
    <s v="Sneakers"/>
    <d v="2025-07-24T00:00:00"/>
    <d v="2025-07-27T00:00:00"/>
    <n v="9"/>
    <n v="855"/>
    <x v="1"/>
    <x v="2"/>
    <x v="1"/>
    <x v="1"/>
    <x v="7"/>
    <x v="1"/>
    <n v="3"/>
    <n v="5771"/>
    <n v="7695"/>
    <n v="1924"/>
  </r>
  <r>
    <s v="Ann Alexander"/>
    <x v="0"/>
    <s v="Curtains"/>
    <d v="2025-03-22T00:00:00"/>
    <d v="2025-03-29T00:00:00"/>
    <n v="2"/>
    <n v="566"/>
    <x v="1"/>
    <x v="0"/>
    <x v="1"/>
    <x v="1"/>
    <x v="10"/>
    <x v="5"/>
    <n v="7"/>
    <n v="736"/>
    <n v="1132"/>
    <n v="396"/>
  </r>
  <r>
    <s v="Ann Phillips"/>
    <x v="2"/>
    <s v="Biography"/>
    <d v="2024-10-11T00:00:00"/>
    <d v="2024-10-17T00:00:00"/>
    <n v="1"/>
    <n v="539"/>
    <x v="0"/>
    <x v="4"/>
    <x v="3"/>
    <x v="0"/>
    <x v="4"/>
    <x v="6"/>
    <n v="6"/>
    <n v="296"/>
    <n v="539"/>
    <n v="243"/>
  </r>
  <r>
    <s v="Anna Davis"/>
    <x v="4"/>
    <s v="Rice"/>
    <d v="2024-12-17T00:00:00"/>
    <d v="2024-12-30T00:00:00"/>
    <n v="4"/>
    <n v="956"/>
    <x v="1"/>
    <x v="6"/>
    <x v="1"/>
    <x v="0"/>
    <x v="8"/>
    <x v="4"/>
    <n v="13"/>
    <n v="2294"/>
    <n v="3824"/>
    <n v="1530"/>
  </r>
  <r>
    <s v="Anthony Adams"/>
    <x v="0"/>
    <s v="Wall Art"/>
    <d v="2024-02-09T00:00:00"/>
    <d v="2024-02-13T00:00:00"/>
    <n v="6"/>
    <n v="267"/>
    <x v="1"/>
    <x v="5"/>
    <x v="0"/>
    <x v="0"/>
    <x v="11"/>
    <x v="6"/>
    <n v="4"/>
    <n v="1121"/>
    <n v="1602"/>
    <n v="481"/>
  </r>
  <r>
    <s v="Anthony Evans"/>
    <x v="4"/>
    <s v="Cereal"/>
    <d v="2024-03-29T00:00:00"/>
    <d v="2024-04-03T00:00:00"/>
    <n v="8"/>
    <n v="944"/>
    <x v="1"/>
    <x v="2"/>
    <x v="1"/>
    <x v="0"/>
    <x v="10"/>
    <x v="6"/>
    <n v="5"/>
    <n v="4154"/>
    <n v="7552"/>
    <n v="3398"/>
  </r>
  <r>
    <s v="Anthony Rodriguez"/>
    <x v="1"/>
    <s v="Camera"/>
    <d v="2024-11-21T00:00:00"/>
    <d v="2024-12-01T00:00:00"/>
    <n v="3"/>
    <n v="556"/>
    <x v="0"/>
    <x v="2"/>
    <x v="1"/>
    <x v="0"/>
    <x v="3"/>
    <x v="1"/>
    <n v="10"/>
    <n v="1334"/>
    <n v="1668"/>
    <n v="334"/>
  </r>
  <r>
    <s v="Anthony Shea DDS"/>
    <x v="1"/>
    <s v="Headphones"/>
    <d v="2024-10-25T00:00:00"/>
    <d v="2024-11-06T00:00:00"/>
    <n v="5"/>
    <n v="825"/>
    <x v="1"/>
    <x v="2"/>
    <x v="2"/>
    <x v="0"/>
    <x v="4"/>
    <x v="6"/>
    <n v="12"/>
    <n v="2681"/>
    <n v="4125"/>
    <n v="1444"/>
  </r>
  <r>
    <s v="Anthony Stein"/>
    <x v="0"/>
    <s v="Cushion"/>
    <d v="2024-10-17T00:00:00"/>
    <d v="2024-10-29T00:00:00"/>
    <n v="10"/>
    <n v="96"/>
    <x v="0"/>
    <x v="4"/>
    <x v="0"/>
    <x v="0"/>
    <x v="4"/>
    <x v="1"/>
    <n v="12"/>
    <n v="624"/>
    <n v="960"/>
    <n v="336"/>
  </r>
  <r>
    <s v="Antonio Little"/>
    <x v="2"/>
    <s v="Children's Book"/>
    <d v="2024-03-19T00:00:00"/>
    <d v="2024-03-25T00:00:00"/>
    <n v="3"/>
    <n v="195"/>
    <x v="0"/>
    <x v="1"/>
    <x v="2"/>
    <x v="0"/>
    <x v="10"/>
    <x v="4"/>
    <n v="6"/>
    <n v="351"/>
    <n v="585"/>
    <n v="234"/>
  </r>
  <r>
    <s v="Antonio Norman"/>
    <x v="0"/>
    <s v="Cushion"/>
    <d v="2024-11-08T00:00:00"/>
    <d v="2024-11-20T00:00:00"/>
    <n v="8"/>
    <n v="206"/>
    <x v="1"/>
    <x v="4"/>
    <x v="0"/>
    <x v="0"/>
    <x v="3"/>
    <x v="6"/>
    <n v="12"/>
    <n v="1071"/>
    <n v="1648"/>
    <n v="577"/>
  </r>
  <r>
    <s v="April Sandoval"/>
    <x v="2"/>
    <s v="Fiction"/>
    <d v="2025-06-27T00:00:00"/>
    <d v="2025-07-05T00:00:00"/>
    <n v="4"/>
    <n v="441"/>
    <x v="0"/>
    <x v="2"/>
    <x v="2"/>
    <x v="1"/>
    <x v="2"/>
    <x v="6"/>
    <n v="8"/>
    <n v="882"/>
    <n v="1764"/>
    <n v="882"/>
  </r>
  <r>
    <s v="Ashley Freeman"/>
    <x v="4"/>
    <s v="Juice"/>
    <d v="2025-12-11T00:00:00"/>
    <d v="2025-12-19T00:00:00"/>
    <n v="2"/>
    <n v="876"/>
    <x v="1"/>
    <x v="6"/>
    <x v="2"/>
    <x v="1"/>
    <x v="8"/>
    <x v="1"/>
    <n v="8"/>
    <n v="964"/>
    <n v="1752"/>
    <n v="788"/>
  </r>
  <r>
    <s v="Ashley Greer PhD"/>
    <x v="3"/>
    <s v="T-Shirt"/>
    <d v="2024-08-19T00:00:00"/>
    <d v="2024-09-01T00:00:00"/>
    <n v="3"/>
    <n v="930"/>
    <x v="0"/>
    <x v="2"/>
    <x v="0"/>
    <x v="0"/>
    <x v="0"/>
    <x v="3"/>
    <n v="13"/>
    <n v="1814"/>
    <n v="2790"/>
    <n v="976"/>
  </r>
  <r>
    <s v="Ashley Parrish"/>
    <x v="1"/>
    <s v="Smartphone"/>
    <d v="2025-07-04T00:00:00"/>
    <d v="2025-07-06T00:00:00"/>
    <n v="10"/>
    <n v="674"/>
    <x v="1"/>
    <x v="1"/>
    <x v="1"/>
    <x v="1"/>
    <x v="7"/>
    <x v="6"/>
    <n v="2"/>
    <n v="5055"/>
    <n v="6740"/>
    <n v="1685"/>
  </r>
  <r>
    <s v="Ashley Scott"/>
    <x v="0"/>
    <s v="Curtains"/>
    <d v="2025-04-21T00:00:00"/>
    <d v="2025-04-25T00:00:00"/>
    <n v="9"/>
    <n v="67"/>
    <x v="0"/>
    <x v="4"/>
    <x v="2"/>
    <x v="1"/>
    <x v="5"/>
    <x v="3"/>
    <n v="4"/>
    <n v="392"/>
    <n v="603"/>
    <n v="211"/>
  </r>
  <r>
    <s v="Ashley Smith"/>
    <x v="1"/>
    <s v="Tablet"/>
    <d v="2024-11-03T00:00:00"/>
    <d v="2024-11-24T00:00:00"/>
    <n v="5"/>
    <n v="370"/>
    <x v="1"/>
    <x v="4"/>
    <x v="2"/>
    <x v="0"/>
    <x v="3"/>
    <x v="2"/>
    <n v="21"/>
    <n v="1295"/>
    <n v="1850"/>
    <n v="555"/>
  </r>
  <r>
    <s v="Ashley Wilson"/>
    <x v="4"/>
    <s v="Pasta"/>
    <d v="2024-11-09T00:00:00"/>
    <d v="2024-11-16T00:00:00"/>
    <n v="5"/>
    <n v="720"/>
    <x v="0"/>
    <x v="0"/>
    <x v="1"/>
    <x v="0"/>
    <x v="3"/>
    <x v="5"/>
    <n v="7"/>
    <n v="2160"/>
    <n v="3600"/>
    <n v="1440"/>
  </r>
  <r>
    <s v="Austin Baker"/>
    <x v="4"/>
    <s v="Milk"/>
    <d v="2025-08-28T00:00:00"/>
    <d v="2025-09-04T00:00:00"/>
    <n v="9"/>
    <n v="687"/>
    <x v="1"/>
    <x v="6"/>
    <x v="0"/>
    <x v="1"/>
    <x v="0"/>
    <x v="1"/>
    <n v="7"/>
    <n v="3092"/>
    <n v="6183"/>
    <n v="3091"/>
  </r>
  <r>
    <s v="Austin Smith"/>
    <x v="1"/>
    <s v="Smartphone"/>
    <d v="2024-03-19T00:00:00"/>
    <d v="2024-03-29T00:00:00"/>
    <n v="3"/>
    <n v="821"/>
    <x v="1"/>
    <x v="2"/>
    <x v="3"/>
    <x v="0"/>
    <x v="10"/>
    <x v="4"/>
    <n v="10"/>
    <n v="1847"/>
    <n v="2463"/>
    <n v="616"/>
  </r>
  <r>
    <s v="Austin Smith"/>
    <x v="2"/>
    <s v="Non-Fiction"/>
    <d v="2025-12-15T00:00:00"/>
    <d v="2025-12-16T00:00:00"/>
    <n v="7"/>
    <n v="595"/>
    <x v="0"/>
    <x v="4"/>
    <x v="1"/>
    <x v="1"/>
    <x v="8"/>
    <x v="3"/>
    <n v="1"/>
    <n v="2083"/>
    <n v="4165"/>
    <n v="2082"/>
  </r>
  <r>
    <s v="Autumn Key"/>
    <x v="1"/>
    <s v="Smartphone"/>
    <d v="2025-10-19T00:00:00"/>
    <d v="2025-10-23T00:00:00"/>
    <n v="3"/>
    <n v="982"/>
    <x v="1"/>
    <x v="4"/>
    <x v="3"/>
    <x v="1"/>
    <x v="4"/>
    <x v="2"/>
    <n v="4"/>
    <n v="2210"/>
    <n v="2946"/>
    <n v="736"/>
  </r>
  <r>
    <s v="Autumn Wilson"/>
    <x v="2"/>
    <s v="Children's Book"/>
    <d v="2024-12-03T00:00:00"/>
    <d v="2024-12-12T00:00:00"/>
    <n v="8"/>
    <n v="26"/>
    <x v="1"/>
    <x v="4"/>
    <x v="0"/>
    <x v="0"/>
    <x v="8"/>
    <x v="4"/>
    <n v="9"/>
    <n v="125"/>
    <n v="208"/>
    <n v="83"/>
  </r>
  <r>
    <s v="Bakbar bore"/>
    <x v="1"/>
    <s v="Headphones"/>
    <d v="2024-04-15T00:00:00"/>
    <d v="2024-04-20T00:00:00"/>
    <n v="1"/>
    <n v="75"/>
    <x v="0"/>
    <x v="4"/>
    <x v="3"/>
    <x v="0"/>
    <x v="5"/>
    <x v="3"/>
    <n v="5"/>
    <n v="49"/>
    <n v="75"/>
    <n v="26"/>
  </r>
  <r>
    <s v="Benjamin Beck"/>
    <x v="2"/>
    <s v="Children's Book"/>
    <d v="2024-09-14T00:00:00"/>
    <d v="2024-09-19T00:00:00"/>
    <n v="9"/>
    <n v="171"/>
    <x v="0"/>
    <x v="4"/>
    <x v="0"/>
    <x v="0"/>
    <x v="9"/>
    <x v="5"/>
    <n v="5"/>
    <n v="923"/>
    <n v="1539"/>
    <n v="616"/>
  </r>
  <r>
    <s v="Benjamin Beck"/>
    <x v="3"/>
    <s v="Jacket"/>
    <d v="2025-02-03T00:00:00"/>
    <d v="2025-02-11T00:00:00"/>
    <n v="3"/>
    <n v="703"/>
    <x v="0"/>
    <x v="6"/>
    <x v="0"/>
    <x v="1"/>
    <x v="11"/>
    <x v="3"/>
    <n v="8"/>
    <n v="1687"/>
    <n v="2109"/>
    <n v="422"/>
  </r>
  <r>
    <s v="Benjamin Thompson"/>
    <x v="0"/>
    <s v="Vase"/>
    <d v="2024-04-23T00:00:00"/>
    <d v="2024-04-28T00:00:00"/>
    <n v="2"/>
    <n v="660"/>
    <x v="1"/>
    <x v="1"/>
    <x v="3"/>
    <x v="0"/>
    <x v="5"/>
    <x v="4"/>
    <n v="5"/>
    <n v="990"/>
    <n v="1320"/>
    <n v="330"/>
  </r>
  <r>
    <s v="Beth Henderson"/>
    <x v="2"/>
    <s v="Fiction"/>
    <d v="2024-10-13T00:00:00"/>
    <d v="2024-10-25T00:00:00"/>
    <n v="8"/>
    <n v="698"/>
    <x v="1"/>
    <x v="1"/>
    <x v="3"/>
    <x v="0"/>
    <x v="4"/>
    <x v="2"/>
    <n v="12"/>
    <n v="2792"/>
    <n v="5584"/>
    <n v="2792"/>
  </r>
  <r>
    <s v="Betty Shaw"/>
    <x v="4"/>
    <s v="Pasta"/>
    <d v="2024-07-04T00:00:00"/>
    <d v="2024-07-11T00:00:00"/>
    <n v="2"/>
    <n v="712"/>
    <x v="1"/>
    <x v="6"/>
    <x v="2"/>
    <x v="0"/>
    <x v="7"/>
    <x v="1"/>
    <n v="7"/>
    <n v="854"/>
    <n v="1424"/>
    <n v="570"/>
  </r>
  <r>
    <s v="Beverly Russo"/>
    <x v="4"/>
    <s v="Rice"/>
    <d v="2024-10-30T00:00:00"/>
    <d v="2024-11-09T00:00:00"/>
    <n v="10"/>
    <n v="73"/>
    <x v="0"/>
    <x v="0"/>
    <x v="1"/>
    <x v="0"/>
    <x v="4"/>
    <x v="0"/>
    <n v="10"/>
    <n v="438"/>
    <n v="730"/>
    <n v="292"/>
  </r>
  <r>
    <s v="Bonnie Valencia"/>
    <x v="4"/>
    <s v="Cereal"/>
    <d v="2025-01-08T00:00:00"/>
    <d v="2025-01-21T00:00:00"/>
    <n v="1"/>
    <n v="333"/>
    <x v="1"/>
    <x v="2"/>
    <x v="2"/>
    <x v="1"/>
    <x v="6"/>
    <x v="0"/>
    <n v="13"/>
    <n v="183"/>
    <n v="333"/>
    <n v="150"/>
  </r>
  <r>
    <s v="Bradley Davis"/>
    <x v="2"/>
    <s v="Cookbook"/>
    <d v="2024-12-20T00:00:00"/>
    <d v="2024-12-28T00:00:00"/>
    <n v="7"/>
    <n v="566"/>
    <x v="1"/>
    <x v="5"/>
    <x v="2"/>
    <x v="0"/>
    <x v="8"/>
    <x v="6"/>
    <n v="8"/>
    <n v="2575"/>
    <n v="3962"/>
    <n v="1387"/>
  </r>
  <r>
    <s v="Brandi Thomas"/>
    <x v="2"/>
    <s v="Non-Fiction"/>
    <d v="2024-11-09T00:00:00"/>
    <d v="2024-11-22T00:00:00"/>
    <n v="2"/>
    <n v="77"/>
    <x v="1"/>
    <x v="6"/>
    <x v="1"/>
    <x v="0"/>
    <x v="3"/>
    <x v="5"/>
    <n v="13"/>
    <n v="77"/>
    <n v="154"/>
    <n v="77"/>
  </r>
  <r>
    <s v="Brandon Lewis"/>
    <x v="0"/>
    <s v="Vase"/>
    <d v="2025-01-18T00:00:00"/>
    <d v="2025-01-31T00:00:00"/>
    <n v="6"/>
    <n v="541"/>
    <x v="1"/>
    <x v="4"/>
    <x v="2"/>
    <x v="1"/>
    <x v="6"/>
    <x v="5"/>
    <n v="13"/>
    <n v="2435"/>
    <n v="3246"/>
    <n v="811"/>
  </r>
  <r>
    <s v="Brandon Parker"/>
    <x v="4"/>
    <s v="Cereal"/>
    <d v="2025-11-25T00:00:00"/>
    <d v="2025-12-03T00:00:00"/>
    <n v="1"/>
    <n v="321"/>
    <x v="0"/>
    <x v="1"/>
    <x v="2"/>
    <x v="1"/>
    <x v="3"/>
    <x v="4"/>
    <n v="8"/>
    <n v="177"/>
    <n v="321"/>
    <n v="144"/>
  </r>
  <r>
    <s v="Brenda Martin"/>
    <x v="4"/>
    <s v="Juice"/>
    <d v="2024-01-28T00:00:00"/>
    <d v="2024-02-07T00:00:00"/>
    <n v="6"/>
    <n v="984"/>
    <x v="0"/>
    <x v="5"/>
    <x v="3"/>
    <x v="0"/>
    <x v="6"/>
    <x v="2"/>
    <n v="10"/>
    <n v="3247"/>
    <n v="5904"/>
    <n v="2657"/>
  </r>
  <r>
    <s v="Brenda Velazquez"/>
    <x v="4"/>
    <s v="Milk"/>
    <d v="2024-07-31T00:00:00"/>
    <d v="2024-08-05T00:00:00"/>
    <n v="2"/>
    <n v="330"/>
    <x v="1"/>
    <x v="0"/>
    <x v="3"/>
    <x v="0"/>
    <x v="7"/>
    <x v="0"/>
    <n v="5"/>
    <n v="330"/>
    <n v="660"/>
    <n v="330"/>
  </r>
  <r>
    <s v="Brent Abbott"/>
    <x v="3"/>
    <s v="Sneakers"/>
    <d v="2024-10-28T00:00:00"/>
    <d v="2024-11-07T00:00:00"/>
    <n v="5"/>
    <n v="838"/>
    <x v="0"/>
    <x v="1"/>
    <x v="1"/>
    <x v="0"/>
    <x v="4"/>
    <x v="3"/>
    <n v="10"/>
    <n v="3143"/>
    <n v="4190"/>
    <n v="1047"/>
  </r>
  <r>
    <s v="Brent Brooks"/>
    <x v="4"/>
    <s v="Juice"/>
    <d v="2024-11-05T00:00:00"/>
    <d v="2024-11-09T00:00:00"/>
    <n v="7"/>
    <n v="111"/>
    <x v="1"/>
    <x v="1"/>
    <x v="3"/>
    <x v="0"/>
    <x v="3"/>
    <x v="4"/>
    <n v="4"/>
    <n v="427"/>
    <n v="777"/>
    <n v="350"/>
  </r>
  <r>
    <s v="Brian Hunt"/>
    <x v="0"/>
    <s v="Wall Art"/>
    <d v="2024-07-28T00:00:00"/>
    <d v="2024-08-09T00:00:00"/>
    <n v="3"/>
    <n v="317"/>
    <x v="1"/>
    <x v="0"/>
    <x v="0"/>
    <x v="0"/>
    <x v="7"/>
    <x v="2"/>
    <n v="12"/>
    <n v="666"/>
    <n v="951"/>
    <n v="285"/>
  </r>
  <r>
    <s v="Brian Prince"/>
    <x v="3"/>
    <s v="T-Shirt"/>
    <d v="2024-02-12T00:00:00"/>
    <d v="2024-02-23T00:00:00"/>
    <n v="5"/>
    <n v="167"/>
    <x v="1"/>
    <x v="0"/>
    <x v="0"/>
    <x v="0"/>
    <x v="11"/>
    <x v="3"/>
    <n v="11"/>
    <n v="543"/>
    <n v="835"/>
    <n v="292"/>
  </r>
  <r>
    <s v="Brian Simmons"/>
    <x v="0"/>
    <s v="Curtains"/>
    <d v="2025-07-17T00:00:00"/>
    <d v="2025-07-23T00:00:00"/>
    <n v="2"/>
    <n v="420"/>
    <x v="0"/>
    <x v="1"/>
    <x v="3"/>
    <x v="1"/>
    <x v="7"/>
    <x v="1"/>
    <n v="6"/>
    <n v="546"/>
    <n v="840"/>
    <n v="294"/>
  </r>
  <r>
    <s v="Brooke Alexander"/>
    <x v="3"/>
    <s v="Sneakers"/>
    <d v="2024-03-31T00:00:00"/>
    <d v="2024-04-13T00:00:00"/>
    <n v="9"/>
    <n v="998"/>
    <x v="1"/>
    <x v="2"/>
    <x v="0"/>
    <x v="0"/>
    <x v="10"/>
    <x v="2"/>
    <n v="13"/>
    <n v="6737"/>
    <n v="8982"/>
    <n v="2245"/>
  </r>
  <r>
    <s v="Brooke Delgado"/>
    <x v="4"/>
    <s v="Juice"/>
    <d v="2025-07-10T00:00:00"/>
    <d v="2025-07-18T00:00:00"/>
    <n v="8"/>
    <n v="360"/>
    <x v="1"/>
    <x v="0"/>
    <x v="0"/>
    <x v="1"/>
    <x v="7"/>
    <x v="1"/>
    <n v="8"/>
    <n v="1584"/>
    <n v="2880"/>
    <n v="1296"/>
  </r>
  <r>
    <s v="Bruce Collier"/>
    <x v="2"/>
    <s v="Cookbook"/>
    <d v="2024-12-05T00:00:00"/>
    <d v="2024-12-12T00:00:00"/>
    <n v="1"/>
    <n v="95"/>
    <x v="0"/>
    <x v="2"/>
    <x v="2"/>
    <x v="0"/>
    <x v="8"/>
    <x v="1"/>
    <n v="7"/>
    <n v="62"/>
    <n v="95"/>
    <n v="33"/>
  </r>
  <r>
    <s v="Bruce Collier"/>
    <x v="0"/>
    <s v="Wall Art"/>
    <d v="2025-08-21T00:00:00"/>
    <d v="2025-08-22T00:00:00"/>
    <n v="1"/>
    <n v="46"/>
    <x v="0"/>
    <x v="1"/>
    <x v="0"/>
    <x v="1"/>
    <x v="0"/>
    <x v="1"/>
    <n v="1"/>
    <n v="32"/>
    <n v="46"/>
    <n v="14"/>
  </r>
  <r>
    <s v="Bryan Howard"/>
    <x v="0"/>
    <s v="Vase"/>
    <d v="2025-02-05T00:00:00"/>
    <d v="2025-02-14T00:00:00"/>
    <n v="10"/>
    <n v="356"/>
    <x v="0"/>
    <x v="6"/>
    <x v="3"/>
    <x v="1"/>
    <x v="11"/>
    <x v="0"/>
    <n v="9"/>
    <n v="2670"/>
    <n v="3560"/>
    <n v="890"/>
  </r>
  <r>
    <s v="Caitlin Collins"/>
    <x v="3"/>
    <s v="T-Shirt"/>
    <d v="2024-01-17T00:00:00"/>
    <d v="2024-01-27T00:00:00"/>
    <n v="7"/>
    <n v="639"/>
    <x v="0"/>
    <x v="1"/>
    <x v="1"/>
    <x v="0"/>
    <x v="6"/>
    <x v="0"/>
    <n v="10"/>
    <n v="2907"/>
    <n v="4473"/>
    <n v="1566"/>
  </r>
  <r>
    <s v="Caitlin Henderson"/>
    <x v="4"/>
    <s v="Cereal"/>
    <d v="2025-06-18T00:00:00"/>
    <d v="2025-06-28T00:00:00"/>
    <n v="6"/>
    <n v="973"/>
    <x v="0"/>
    <x v="1"/>
    <x v="2"/>
    <x v="1"/>
    <x v="2"/>
    <x v="0"/>
    <n v="10"/>
    <n v="3211"/>
    <n v="5838"/>
    <n v="2627"/>
  </r>
  <r>
    <s v="Cameron Fisher"/>
    <x v="3"/>
    <s v="Jeans"/>
    <d v="2025-06-21T00:00:00"/>
    <d v="2025-06-28T00:00:00"/>
    <n v="2"/>
    <n v="236"/>
    <x v="1"/>
    <x v="4"/>
    <x v="2"/>
    <x v="1"/>
    <x v="2"/>
    <x v="5"/>
    <n v="7"/>
    <n v="330"/>
    <n v="472"/>
    <n v="142"/>
  </r>
  <r>
    <s v="Cameron Rose"/>
    <x v="1"/>
    <s v="Tablet"/>
    <d v="2024-02-10T00:00:00"/>
    <d v="2024-02-24T00:00:00"/>
    <n v="9"/>
    <n v="953"/>
    <x v="1"/>
    <x v="5"/>
    <x v="0"/>
    <x v="0"/>
    <x v="11"/>
    <x v="5"/>
    <n v="14"/>
    <n v="6004"/>
    <n v="8577"/>
    <n v="2573"/>
  </r>
  <r>
    <s v="Candice Ramos"/>
    <x v="4"/>
    <s v="Milk"/>
    <d v="2025-06-07T00:00:00"/>
    <d v="2025-06-11T00:00:00"/>
    <n v="8"/>
    <n v="329"/>
    <x v="0"/>
    <x v="0"/>
    <x v="2"/>
    <x v="1"/>
    <x v="2"/>
    <x v="5"/>
    <n v="4"/>
    <n v="1316"/>
    <n v="2632"/>
    <n v="1316"/>
  </r>
  <r>
    <s v="Carlos Thompson"/>
    <x v="2"/>
    <s v="Non-Fiction"/>
    <d v="2024-07-30T00:00:00"/>
    <d v="2024-08-06T00:00:00"/>
    <n v="5"/>
    <n v="291"/>
    <x v="1"/>
    <x v="4"/>
    <x v="0"/>
    <x v="0"/>
    <x v="7"/>
    <x v="4"/>
    <n v="7"/>
    <n v="728"/>
    <n v="1455"/>
    <n v="727"/>
  </r>
  <r>
    <s v="Casey Gillespie"/>
    <x v="4"/>
    <s v="Milk"/>
    <d v="2025-10-22T00:00:00"/>
    <d v="2025-10-23T00:00:00"/>
    <n v="10"/>
    <n v="279"/>
    <x v="0"/>
    <x v="1"/>
    <x v="3"/>
    <x v="1"/>
    <x v="4"/>
    <x v="0"/>
    <n v="1"/>
    <n v="1395"/>
    <n v="2790"/>
    <n v="1395"/>
  </r>
  <r>
    <s v="Catherine Taylor"/>
    <x v="2"/>
    <s v="Fiction"/>
    <d v="2025-05-27T00:00:00"/>
    <d v="2025-06-03T00:00:00"/>
    <n v="2"/>
    <n v="288"/>
    <x v="0"/>
    <x v="6"/>
    <x v="3"/>
    <x v="1"/>
    <x v="1"/>
    <x v="4"/>
    <n v="7"/>
    <n v="288"/>
    <n v="576"/>
    <n v="288"/>
  </r>
  <r>
    <s v="Cathy Taylor"/>
    <x v="0"/>
    <s v="Table Lamp"/>
    <d v="2025-11-28T00:00:00"/>
    <d v="2025-12-02T00:00:00"/>
    <n v="4"/>
    <n v="346"/>
    <x v="1"/>
    <x v="4"/>
    <x v="0"/>
    <x v="1"/>
    <x v="3"/>
    <x v="6"/>
    <n v="4"/>
    <n v="1038"/>
    <n v="1384"/>
    <n v="346"/>
  </r>
  <r>
    <s v="Charles Clark"/>
    <x v="3"/>
    <s v="Jeans"/>
    <d v="2024-07-04T00:00:00"/>
    <d v="2024-07-17T00:00:00"/>
    <n v="9"/>
    <n v="239"/>
    <x v="0"/>
    <x v="4"/>
    <x v="0"/>
    <x v="0"/>
    <x v="7"/>
    <x v="1"/>
    <n v="13"/>
    <n v="1506"/>
    <n v="2151"/>
    <n v="645"/>
  </r>
  <r>
    <s v="Charles Holland"/>
    <x v="3"/>
    <s v="Jeans"/>
    <d v="2024-06-02T00:00:00"/>
    <d v="2024-06-11T00:00:00"/>
    <n v="2"/>
    <n v="679"/>
    <x v="0"/>
    <x v="1"/>
    <x v="2"/>
    <x v="0"/>
    <x v="2"/>
    <x v="2"/>
    <n v="9"/>
    <n v="951"/>
    <n v="1358"/>
    <n v="407"/>
  </r>
  <r>
    <s v="Cheryl Allen"/>
    <x v="0"/>
    <s v="Wall Art"/>
    <d v="2025-07-17T00:00:00"/>
    <d v="2025-07-26T00:00:00"/>
    <n v="4"/>
    <n v="432"/>
    <x v="0"/>
    <x v="0"/>
    <x v="2"/>
    <x v="1"/>
    <x v="7"/>
    <x v="1"/>
    <n v="9"/>
    <n v="1210"/>
    <n v="1728"/>
    <n v="518"/>
  </r>
  <r>
    <s v="Christina Cruz"/>
    <x v="2"/>
    <s v="Biography"/>
    <d v="2025-12-09T00:00:00"/>
    <d v="2025-12-10T00:00:00"/>
    <n v="5"/>
    <n v="630"/>
    <x v="0"/>
    <x v="4"/>
    <x v="3"/>
    <x v="1"/>
    <x v="8"/>
    <x v="4"/>
    <n v="1"/>
    <n v="1733"/>
    <n v="3150"/>
    <n v="1417"/>
  </r>
  <r>
    <s v="Christine Wright"/>
    <x v="3"/>
    <s v="Sneakers"/>
    <d v="2025-01-08T00:00:00"/>
    <d v="2025-01-15T00:00:00"/>
    <n v="9"/>
    <n v="785"/>
    <x v="0"/>
    <x v="6"/>
    <x v="3"/>
    <x v="1"/>
    <x v="6"/>
    <x v="0"/>
    <n v="7"/>
    <n v="5299"/>
    <n v="7065"/>
    <n v="1766"/>
  </r>
  <r>
    <s v="Christopher Castro"/>
    <x v="3"/>
    <s v="Jacket"/>
    <d v="2025-09-01T00:00:00"/>
    <d v="2025-09-03T00:00:00"/>
    <n v="8"/>
    <n v="204"/>
    <x v="1"/>
    <x v="2"/>
    <x v="2"/>
    <x v="1"/>
    <x v="9"/>
    <x v="3"/>
    <n v="2"/>
    <n v="1306"/>
    <n v="1632"/>
    <n v="326"/>
  </r>
  <r>
    <s v="Christopher Park"/>
    <x v="4"/>
    <s v="Cereal"/>
    <d v="2024-09-13T00:00:00"/>
    <d v="2024-09-25T00:00:00"/>
    <n v="9"/>
    <n v="515"/>
    <x v="1"/>
    <x v="0"/>
    <x v="2"/>
    <x v="0"/>
    <x v="9"/>
    <x v="6"/>
    <n v="12"/>
    <n v="2549"/>
    <n v="4635"/>
    <n v="2086"/>
  </r>
  <r>
    <s v="Christopher Walters"/>
    <x v="3"/>
    <s v="Sneakers"/>
    <d v="2025-03-26T00:00:00"/>
    <d v="2025-04-01T00:00:00"/>
    <n v="10"/>
    <n v="405"/>
    <x v="0"/>
    <x v="2"/>
    <x v="3"/>
    <x v="1"/>
    <x v="10"/>
    <x v="0"/>
    <n v="6"/>
    <n v="3038"/>
    <n v="4050"/>
    <n v="1012"/>
  </r>
  <r>
    <s v="Clifford Ford"/>
    <x v="3"/>
    <s v="Dress"/>
    <d v="2024-02-24T00:00:00"/>
    <d v="2024-03-03T00:00:00"/>
    <n v="5"/>
    <n v="871"/>
    <x v="1"/>
    <x v="2"/>
    <x v="2"/>
    <x v="0"/>
    <x v="11"/>
    <x v="5"/>
    <n v="8"/>
    <n v="3049"/>
    <n v="4355"/>
    <n v="1306"/>
  </r>
  <r>
    <s v="Clifford Ford"/>
    <x v="4"/>
    <s v="Milk"/>
    <d v="2025-10-18T00:00:00"/>
    <d v="2025-10-25T00:00:00"/>
    <n v="6"/>
    <n v="124"/>
    <x v="1"/>
    <x v="4"/>
    <x v="3"/>
    <x v="1"/>
    <x v="4"/>
    <x v="5"/>
    <n v="7"/>
    <n v="372"/>
    <n v="744"/>
    <n v="372"/>
  </r>
  <r>
    <s v="Connie Miller"/>
    <x v="2"/>
    <s v="Biography"/>
    <d v="2024-03-26T00:00:00"/>
    <d v="2024-04-08T00:00:00"/>
    <n v="6"/>
    <n v="139"/>
    <x v="1"/>
    <x v="3"/>
    <x v="3"/>
    <x v="0"/>
    <x v="10"/>
    <x v="4"/>
    <n v="13"/>
    <n v="459"/>
    <n v="834"/>
    <n v="375"/>
  </r>
  <r>
    <s v="Connie Thomas"/>
    <x v="4"/>
    <s v="Cereal"/>
    <d v="2024-03-06T00:00:00"/>
    <d v="2024-03-11T00:00:00"/>
    <n v="9"/>
    <n v="105"/>
    <x v="1"/>
    <x v="2"/>
    <x v="3"/>
    <x v="0"/>
    <x v="10"/>
    <x v="0"/>
    <n v="5"/>
    <n v="520"/>
    <n v="945"/>
    <n v="425"/>
  </r>
  <r>
    <s v="Corey Rodriguez"/>
    <x v="2"/>
    <s v="Non-Fiction"/>
    <d v="2025-01-18T00:00:00"/>
    <d v="2025-01-21T00:00:00"/>
    <n v="4"/>
    <n v="801"/>
    <x v="0"/>
    <x v="0"/>
    <x v="2"/>
    <x v="1"/>
    <x v="6"/>
    <x v="5"/>
    <n v="3"/>
    <n v="1602"/>
    <n v="3204"/>
    <n v="1602"/>
  </r>
  <r>
    <s v="Corey Whitaker"/>
    <x v="3"/>
    <s v="T-Shirt"/>
    <d v="2024-02-21T00:00:00"/>
    <d v="2024-03-05T00:00:00"/>
    <n v="10"/>
    <n v="44"/>
    <x v="1"/>
    <x v="0"/>
    <x v="0"/>
    <x v="0"/>
    <x v="11"/>
    <x v="0"/>
    <n v="13"/>
    <n v="286"/>
    <n v="440"/>
    <n v="154"/>
  </r>
  <r>
    <s v="Courtney Dudley"/>
    <x v="2"/>
    <s v="Cookbook"/>
    <d v="2024-12-11T00:00:00"/>
    <d v="2024-12-19T00:00:00"/>
    <n v="9"/>
    <n v="36"/>
    <x v="0"/>
    <x v="2"/>
    <x v="3"/>
    <x v="0"/>
    <x v="8"/>
    <x v="0"/>
    <n v="8"/>
    <n v="211"/>
    <n v="324"/>
    <n v="113"/>
  </r>
  <r>
    <s v="Courtney Sullivan"/>
    <x v="2"/>
    <s v="Children's Book"/>
    <d v="2025-09-21T00:00:00"/>
    <d v="2025-09-28T00:00:00"/>
    <n v="9"/>
    <n v="485"/>
    <x v="1"/>
    <x v="0"/>
    <x v="0"/>
    <x v="1"/>
    <x v="9"/>
    <x v="2"/>
    <n v="7"/>
    <n v="2619"/>
    <n v="4365"/>
    <n v="1746"/>
  </r>
  <r>
    <s v="Courtney Walker"/>
    <x v="1"/>
    <s v="Smartphone"/>
    <d v="2024-04-06T00:00:00"/>
    <d v="2024-04-09T00:00:00"/>
    <n v="10"/>
    <n v="751"/>
    <x v="0"/>
    <x v="2"/>
    <x v="0"/>
    <x v="0"/>
    <x v="5"/>
    <x v="5"/>
    <n v="3"/>
    <n v="5633"/>
    <n v="7510"/>
    <n v="1877"/>
  </r>
  <r>
    <s v="Craig Morrison"/>
    <x v="3"/>
    <s v="T-Shirt"/>
    <d v="2025-02-14T00:00:00"/>
    <d v="2025-02-24T00:00:00"/>
    <n v="10"/>
    <n v="503"/>
    <x v="1"/>
    <x v="0"/>
    <x v="3"/>
    <x v="1"/>
    <x v="11"/>
    <x v="6"/>
    <n v="10"/>
    <n v="3270"/>
    <n v="5030"/>
    <n v="1760"/>
  </r>
  <r>
    <s v="Crystal Hansen"/>
    <x v="3"/>
    <s v="Jacket"/>
    <d v="2025-12-20T00:00:00"/>
    <d v="2025-12-22T00:00:00"/>
    <n v="3"/>
    <n v="375"/>
    <x v="1"/>
    <x v="6"/>
    <x v="0"/>
    <x v="1"/>
    <x v="8"/>
    <x v="5"/>
    <n v="2"/>
    <n v="900"/>
    <n v="1125"/>
    <n v="225"/>
  </r>
  <r>
    <s v="Curtis Johnson"/>
    <x v="0"/>
    <s v="Table Lamp"/>
    <d v="2024-01-05T00:00:00"/>
    <d v="2024-01-10T00:00:00"/>
    <n v="8"/>
    <n v="646"/>
    <x v="0"/>
    <x v="2"/>
    <x v="3"/>
    <x v="0"/>
    <x v="6"/>
    <x v="6"/>
    <n v="5"/>
    <n v="3876"/>
    <n v="5168"/>
    <n v="1292"/>
  </r>
  <r>
    <s v="Curtis Johnson"/>
    <x v="3"/>
    <s v="Jeans"/>
    <d v="2025-05-27T00:00:00"/>
    <d v="2025-06-04T00:00:00"/>
    <n v="10"/>
    <n v="723"/>
    <x v="1"/>
    <x v="1"/>
    <x v="0"/>
    <x v="1"/>
    <x v="1"/>
    <x v="4"/>
    <n v="8"/>
    <n v="5061"/>
    <n v="7230"/>
    <n v="2169"/>
  </r>
  <r>
    <s v="Curtis Wilkerson"/>
    <x v="4"/>
    <s v="Pasta"/>
    <d v="2024-04-13T00:00:00"/>
    <d v="2024-04-26T00:00:00"/>
    <n v="9"/>
    <n v="287"/>
    <x v="0"/>
    <x v="2"/>
    <x v="1"/>
    <x v="0"/>
    <x v="5"/>
    <x v="5"/>
    <n v="13"/>
    <n v="1550"/>
    <n v="2583"/>
    <n v="1033"/>
  </r>
  <r>
    <s v="Cynthia Brown"/>
    <x v="3"/>
    <s v="Sneakers"/>
    <d v="2025-08-05T00:00:00"/>
    <d v="2025-08-11T00:00:00"/>
    <n v="3"/>
    <n v="262"/>
    <x v="1"/>
    <x v="2"/>
    <x v="0"/>
    <x v="1"/>
    <x v="0"/>
    <x v="4"/>
    <n v="6"/>
    <n v="590"/>
    <n v="786"/>
    <n v="196"/>
  </r>
  <r>
    <s v="Cynthia Cohen"/>
    <x v="4"/>
    <s v="Milk"/>
    <d v="2024-04-11T00:00:00"/>
    <d v="2024-04-24T00:00:00"/>
    <n v="2"/>
    <n v="616"/>
    <x v="0"/>
    <x v="2"/>
    <x v="2"/>
    <x v="0"/>
    <x v="5"/>
    <x v="1"/>
    <n v="13"/>
    <n v="616"/>
    <n v="1232"/>
    <n v="616"/>
  </r>
  <r>
    <s v="Cynthia Evans"/>
    <x v="2"/>
    <s v="Children's Book"/>
    <d v="2024-02-29T00:00:00"/>
    <d v="2024-03-08T00:00:00"/>
    <n v="4"/>
    <n v="744"/>
    <x v="0"/>
    <x v="2"/>
    <x v="1"/>
    <x v="0"/>
    <x v="11"/>
    <x v="1"/>
    <n v="8"/>
    <n v="1786"/>
    <n v="2976"/>
    <n v="1190"/>
  </r>
  <r>
    <s v="Cynthia Green"/>
    <x v="4"/>
    <s v="Pasta"/>
    <d v="2024-09-25T00:00:00"/>
    <d v="2024-10-07T00:00:00"/>
    <n v="10"/>
    <n v="803"/>
    <x v="0"/>
    <x v="1"/>
    <x v="3"/>
    <x v="0"/>
    <x v="9"/>
    <x v="0"/>
    <n v="12"/>
    <n v="4818"/>
    <n v="8030"/>
    <n v="3212"/>
  </r>
  <r>
    <s v="Cynthia Le"/>
    <x v="1"/>
    <s v="Laptop"/>
    <d v="2024-12-20T00:00:00"/>
    <d v="2024-12-31T00:00:00"/>
    <n v="5"/>
    <n v="105"/>
    <x v="1"/>
    <x v="5"/>
    <x v="0"/>
    <x v="0"/>
    <x v="8"/>
    <x v="6"/>
    <n v="11"/>
    <n v="446"/>
    <n v="525"/>
    <n v="79"/>
  </r>
  <r>
    <s v="Daniel Burgess"/>
    <x v="3"/>
    <s v="Sneakers"/>
    <d v="2025-10-09T00:00:00"/>
    <d v="2025-10-19T00:00:00"/>
    <n v="5"/>
    <n v="644"/>
    <x v="0"/>
    <x v="2"/>
    <x v="0"/>
    <x v="1"/>
    <x v="4"/>
    <x v="1"/>
    <n v="10"/>
    <n v="2415"/>
    <n v="3220"/>
    <n v="805"/>
  </r>
  <r>
    <s v="Daniel Davenport"/>
    <x v="1"/>
    <s v="Headphones"/>
    <d v="2024-12-22T00:00:00"/>
    <d v="2024-12-30T00:00:00"/>
    <n v="8"/>
    <n v="336"/>
    <x v="0"/>
    <x v="5"/>
    <x v="1"/>
    <x v="0"/>
    <x v="8"/>
    <x v="2"/>
    <n v="8"/>
    <n v="1747"/>
    <n v="2688"/>
    <n v="941"/>
  </r>
  <r>
    <s v="Daniel Lopez"/>
    <x v="2"/>
    <s v="Non-Fiction"/>
    <d v="2025-04-26T00:00:00"/>
    <d v="2025-05-10T00:00:00"/>
    <n v="1"/>
    <n v="320"/>
    <x v="1"/>
    <x v="4"/>
    <x v="2"/>
    <x v="1"/>
    <x v="5"/>
    <x v="5"/>
    <n v="14"/>
    <n v="160"/>
    <n v="320"/>
    <n v="160"/>
  </r>
  <r>
    <s v="Daniel Murphy"/>
    <x v="2"/>
    <s v="Non-Fiction"/>
    <d v="2025-03-09T00:00:00"/>
    <d v="2025-03-14T00:00:00"/>
    <n v="4"/>
    <n v="49"/>
    <x v="1"/>
    <x v="6"/>
    <x v="1"/>
    <x v="1"/>
    <x v="10"/>
    <x v="2"/>
    <n v="5"/>
    <n v="98"/>
    <n v="196"/>
    <n v="98"/>
  </r>
  <r>
    <s v="Daniel Salinas"/>
    <x v="3"/>
    <s v="Jacket"/>
    <d v="2024-08-08T00:00:00"/>
    <d v="2024-08-15T00:00:00"/>
    <n v="2"/>
    <n v="981"/>
    <x v="1"/>
    <x v="2"/>
    <x v="1"/>
    <x v="0"/>
    <x v="0"/>
    <x v="1"/>
    <n v="7"/>
    <n v="1570"/>
    <n v="1962"/>
    <n v="392"/>
  </r>
  <r>
    <s v="Daniel Salinas"/>
    <x v="2"/>
    <s v="Biography"/>
    <d v="2025-09-05T00:00:00"/>
    <d v="2025-09-15T00:00:00"/>
    <n v="6"/>
    <n v="914"/>
    <x v="0"/>
    <x v="4"/>
    <x v="3"/>
    <x v="1"/>
    <x v="9"/>
    <x v="6"/>
    <n v="10"/>
    <n v="3016"/>
    <n v="5484"/>
    <n v="2468"/>
  </r>
  <r>
    <s v="Danielle Phillips"/>
    <x v="1"/>
    <s v="Tablet"/>
    <d v="2024-12-31T00:00:00"/>
    <d v="2025-01-14T00:00:00"/>
    <n v="2"/>
    <n v="364"/>
    <x v="1"/>
    <x v="0"/>
    <x v="0"/>
    <x v="0"/>
    <x v="8"/>
    <x v="4"/>
    <n v="14"/>
    <n v="510"/>
    <n v="728"/>
    <n v="218"/>
  </r>
  <r>
    <s v="David Bradley"/>
    <x v="0"/>
    <s v="Curtains"/>
    <d v="2025-06-03T00:00:00"/>
    <d v="2025-06-11T00:00:00"/>
    <n v="9"/>
    <n v="692"/>
    <x v="1"/>
    <x v="1"/>
    <x v="3"/>
    <x v="1"/>
    <x v="2"/>
    <x v="4"/>
    <n v="8"/>
    <n v="4048"/>
    <n v="6228"/>
    <n v="2180"/>
  </r>
  <r>
    <s v="David Caldwell"/>
    <x v="1"/>
    <s v="Headphones"/>
    <d v="2024-07-14T00:00:00"/>
    <d v="2024-07-28T00:00:00"/>
    <n v="10"/>
    <n v="489"/>
    <x v="1"/>
    <x v="2"/>
    <x v="0"/>
    <x v="0"/>
    <x v="7"/>
    <x v="2"/>
    <n v="14"/>
    <n v="3179"/>
    <n v="4890"/>
    <n v="1711"/>
  </r>
  <r>
    <s v="David Caldwell"/>
    <x v="0"/>
    <s v="Wall Art"/>
    <d v="2025-01-03T00:00:00"/>
    <d v="2025-01-12T00:00:00"/>
    <n v="1"/>
    <n v="669"/>
    <x v="0"/>
    <x v="4"/>
    <x v="1"/>
    <x v="1"/>
    <x v="6"/>
    <x v="6"/>
    <n v="9"/>
    <n v="468"/>
    <n v="669"/>
    <n v="201"/>
  </r>
  <r>
    <s v="David Gardner"/>
    <x v="2"/>
    <s v="Fiction"/>
    <d v="2024-12-12T00:00:00"/>
    <d v="2024-12-25T00:00:00"/>
    <n v="5"/>
    <n v="276"/>
    <x v="0"/>
    <x v="1"/>
    <x v="3"/>
    <x v="0"/>
    <x v="8"/>
    <x v="1"/>
    <n v="13"/>
    <n v="690"/>
    <n v="1380"/>
    <n v="690"/>
  </r>
  <r>
    <s v="David Grant"/>
    <x v="2"/>
    <s v="Fiction"/>
    <d v="2024-08-21T00:00:00"/>
    <d v="2024-09-01T00:00:00"/>
    <n v="7"/>
    <n v="917"/>
    <x v="0"/>
    <x v="2"/>
    <x v="2"/>
    <x v="0"/>
    <x v="0"/>
    <x v="0"/>
    <n v="11"/>
    <n v="3210"/>
    <n v="6419"/>
    <n v="3209"/>
  </r>
  <r>
    <s v="David Grant"/>
    <x v="0"/>
    <s v="Wall Art"/>
    <d v="2025-02-18T00:00:00"/>
    <d v="2025-02-24T00:00:00"/>
    <n v="8"/>
    <n v="745"/>
    <x v="1"/>
    <x v="2"/>
    <x v="0"/>
    <x v="1"/>
    <x v="11"/>
    <x v="4"/>
    <n v="6"/>
    <n v="4172"/>
    <n v="5960"/>
    <n v="1788"/>
  </r>
  <r>
    <s v="David Johnson"/>
    <x v="2"/>
    <s v="Biography"/>
    <d v="2024-06-29T00:00:00"/>
    <d v="2024-07-13T00:00:00"/>
    <n v="8"/>
    <n v="287"/>
    <x v="0"/>
    <x v="6"/>
    <x v="0"/>
    <x v="0"/>
    <x v="2"/>
    <x v="5"/>
    <n v="14"/>
    <n v="1263"/>
    <n v="2296"/>
    <n v="1033"/>
  </r>
  <r>
    <s v="David Stevens"/>
    <x v="1"/>
    <s v="Laptop"/>
    <d v="2025-08-02T00:00:00"/>
    <d v="2025-08-08T00:00:00"/>
    <n v="2"/>
    <n v="315"/>
    <x v="0"/>
    <x v="2"/>
    <x v="3"/>
    <x v="1"/>
    <x v="0"/>
    <x v="5"/>
    <n v="6"/>
    <n v="536"/>
    <n v="630"/>
    <n v="94"/>
  </r>
  <r>
    <s v="David Wilson"/>
    <x v="3"/>
    <s v="T-Shirt"/>
    <d v="2025-12-12T00:00:00"/>
    <d v="2025-12-13T00:00:00"/>
    <n v="5"/>
    <n v="465"/>
    <x v="0"/>
    <x v="2"/>
    <x v="2"/>
    <x v="1"/>
    <x v="8"/>
    <x v="6"/>
    <n v="1"/>
    <n v="1511"/>
    <n v="2325"/>
    <n v="814"/>
  </r>
  <r>
    <s v="Dawn Diaz"/>
    <x v="1"/>
    <s v="Headphones"/>
    <d v="2025-04-10T00:00:00"/>
    <d v="2025-04-17T00:00:00"/>
    <n v="7"/>
    <n v="390"/>
    <x v="1"/>
    <x v="6"/>
    <x v="3"/>
    <x v="1"/>
    <x v="5"/>
    <x v="1"/>
    <n v="7"/>
    <n v="1775"/>
    <n v="2730"/>
    <n v="955"/>
  </r>
  <r>
    <s v="Dawn Little"/>
    <x v="1"/>
    <s v="Camera"/>
    <d v="2024-07-09T00:00:00"/>
    <d v="2024-07-15T00:00:00"/>
    <n v="2"/>
    <n v="524"/>
    <x v="0"/>
    <x v="3"/>
    <x v="1"/>
    <x v="0"/>
    <x v="7"/>
    <x v="4"/>
    <n v="6"/>
    <n v="838"/>
    <n v="1048"/>
    <n v="210"/>
  </r>
  <r>
    <s v="Debbie Russell"/>
    <x v="1"/>
    <s v="Laptop"/>
    <d v="2024-08-13T00:00:00"/>
    <d v="2024-08-25T00:00:00"/>
    <n v="8"/>
    <n v="10"/>
    <x v="1"/>
    <x v="0"/>
    <x v="1"/>
    <x v="0"/>
    <x v="0"/>
    <x v="4"/>
    <n v="12"/>
    <n v="68"/>
    <n v="80"/>
    <n v="12"/>
  </r>
  <r>
    <s v="Deborah Stephens"/>
    <x v="3"/>
    <s v="Dress"/>
    <d v="2024-07-15T00:00:00"/>
    <d v="2024-07-27T00:00:00"/>
    <n v="7"/>
    <n v="200"/>
    <x v="1"/>
    <x v="0"/>
    <x v="3"/>
    <x v="0"/>
    <x v="7"/>
    <x v="3"/>
    <n v="12"/>
    <n v="980"/>
    <n v="1400"/>
    <n v="420"/>
  </r>
  <r>
    <s v="Dennis Marshall"/>
    <x v="2"/>
    <s v="Children's Book"/>
    <d v="2024-09-27T00:00:00"/>
    <d v="2024-10-07T00:00:00"/>
    <n v="6"/>
    <n v="89"/>
    <x v="0"/>
    <x v="2"/>
    <x v="1"/>
    <x v="0"/>
    <x v="9"/>
    <x v="6"/>
    <n v="10"/>
    <n v="320"/>
    <n v="534"/>
    <n v="214"/>
  </r>
  <r>
    <s v="Derrick Adams"/>
    <x v="1"/>
    <s v="Smartphone"/>
    <d v="2024-09-12T00:00:00"/>
    <d v="2024-09-23T00:00:00"/>
    <n v="10"/>
    <n v="558"/>
    <x v="1"/>
    <x v="4"/>
    <x v="2"/>
    <x v="0"/>
    <x v="9"/>
    <x v="1"/>
    <n v="11"/>
    <n v="4185"/>
    <n v="5580"/>
    <n v="1395"/>
  </r>
  <r>
    <s v="Diane Evans"/>
    <x v="4"/>
    <s v="Milk"/>
    <d v="2025-08-09T00:00:00"/>
    <d v="2025-08-14T00:00:00"/>
    <n v="5"/>
    <n v="292"/>
    <x v="1"/>
    <x v="2"/>
    <x v="0"/>
    <x v="1"/>
    <x v="0"/>
    <x v="5"/>
    <n v="5"/>
    <n v="730"/>
    <n v="1460"/>
    <n v="730"/>
  </r>
  <r>
    <s v="Dillon Jones"/>
    <x v="2"/>
    <s v="Non-Fiction"/>
    <d v="2025-12-22T00:00:00"/>
    <d v="2025-12-31T00:00:00"/>
    <n v="8"/>
    <n v="953"/>
    <x v="0"/>
    <x v="1"/>
    <x v="0"/>
    <x v="1"/>
    <x v="8"/>
    <x v="3"/>
    <n v="9"/>
    <n v="3812"/>
    <n v="7624"/>
    <n v="3812"/>
  </r>
  <r>
    <s v="Donald Hawkins"/>
    <x v="3"/>
    <s v="Sneakers"/>
    <d v="2025-02-07T00:00:00"/>
    <d v="2025-02-16T00:00:00"/>
    <n v="2"/>
    <n v="461"/>
    <x v="1"/>
    <x v="1"/>
    <x v="1"/>
    <x v="1"/>
    <x v="11"/>
    <x v="6"/>
    <n v="9"/>
    <n v="692"/>
    <n v="922"/>
    <n v="230"/>
  </r>
  <r>
    <s v="Donald Nguyen"/>
    <x v="1"/>
    <s v="Smartphone"/>
    <d v="2025-08-17T00:00:00"/>
    <d v="2025-08-18T00:00:00"/>
    <n v="8"/>
    <n v="48"/>
    <x v="0"/>
    <x v="2"/>
    <x v="3"/>
    <x v="1"/>
    <x v="0"/>
    <x v="2"/>
    <n v="1"/>
    <n v="288"/>
    <n v="384"/>
    <n v="96"/>
  </r>
  <r>
    <s v="Donald Pineda"/>
    <x v="4"/>
    <s v="Rice"/>
    <d v="2024-08-28T00:00:00"/>
    <d v="2024-09-08T00:00:00"/>
    <n v="8"/>
    <n v="656"/>
    <x v="1"/>
    <x v="6"/>
    <x v="2"/>
    <x v="0"/>
    <x v="0"/>
    <x v="0"/>
    <n v="11"/>
    <n v="3149"/>
    <n v="5248"/>
    <n v="2099"/>
  </r>
  <r>
    <s v="Donald Schultz"/>
    <x v="2"/>
    <s v="Fiction"/>
    <d v="2024-04-16T00:00:00"/>
    <d v="2024-04-22T00:00:00"/>
    <n v="4"/>
    <n v="280"/>
    <x v="0"/>
    <x v="2"/>
    <x v="1"/>
    <x v="0"/>
    <x v="5"/>
    <x v="4"/>
    <n v="6"/>
    <n v="560"/>
    <n v="1120"/>
    <n v="560"/>
  </r>
  <r>
    <s v="Donald Schultz"/>
    <x v="4"/>
    <s v="Cereal"/>
    <d v="2025-03-27T00:00:00"/>
    <d v="2025-04-01T00:00:00"/>
    <n v="1"/>
    <n v="968"/>
    <x v="0"/>
    <x v="2"/>
    <x v="0"/>
    <x v="1"/>
    <x v="10"/>
    <x v="1"/>
    <n v="5"/>
    <n v="532"/>
    <n v="968"/>
    <n v="436"/>
  </r>
  <r>
    <s v="Donald Wilson"/>
    <x v="3"/>
    <s v="Sneakers"/>
    <d v="2025-08-14T00:00:00"/>
    <d v="2025-08-16T00:00:00"/>
    <n v="7"/>
    <n v="70"/>
    <x v="0"/>
    <x v="6"/>
    <x v="3"/>
    <x v="1"/>
    <x v="0"/>
    <x v="1"/>
    <n v="2"/>
    <n v="368"/>
    <n v="490"/>
    <n v="122"/>
  </r>
  <r>
    <s v="Donna Cabrera"/>
    <x v="1"/>
    <s v="Tablet"/>
    <d v="2024-05-26T00:00:00"/>
    <d v="2024-06-01T00:00:00"/>
    <n v="2"/>
    <n v="670"/>
    <x v="1"/>
    <x v="1"/>
    <x v="1"/>
    <x v="0"/>
    <x v="1"/>
    <x v="2"/>
    <n v="6"/>
    <n v="938"/>
    <n v="1340"/>
    <n v="402"/>
  </r>
  <r>
    <s v="Douglas Baker"/>
    <x v="0"/>
    <s v="Curtains"/>
    <d v="2024-07-22T00:00:00"/>
    <d v="2024-07-25T00:00:00"/>
    <n v="6"/>
    <n v="308"/>
    <x v="1"/>
    <x v="3"/>
    <x v="0"/>
    <x v="0"/>
    <x v="7"/>
    <x v="3"/>
    <n v="3"/>
    <n v="1201"/>
    <n v="1848"/>
    <n v="647"/>
  </r>
  <r>
    <s v="Douglas Clark"/>
    <x v="1"/>
    <s v="Smartphone"/>
    <d v="2024-06-18T00:00:00"/>
    <d v="2024-06-29T00:00:00"/>
    <n v="2"/>
    <n v="536"/>
    <x v="1"/>
    <x v="4"/>
    <x v="2"/>
    <x v="0"/>
    <x v="2"/>
    <x v="4"/>
    <n v="11"/>
    <n v="804"/>
    <n v="1072"/>
    <n v="268"/>
  </r>
  <r>
    <s v="Douglas Clark"/>
    <x v="0"/>
    <s v="Vase"/>
    <d v="2025-04-17T00:00:00"/>
    <d v="2025-04-23T00:00:00"/>
    <n v="1"/>
    <n v="30"/>
    <x v="1"/>
    <x v="2"/>
    <x v="2"/>
    <x v="1"/>
    <x v="5"/>
    <x v="1"/>
    <n v="6"/>
    <n v="23"/>
    <n v="30"/>
    <n v="7"/>
  </r>
  <r>
    <s v="Douglas Hartman"/>
    <x v="2"/>
    <s v="Fiction"/>
    <d v="2025-01-04T00:00:00"/>
    <d v="2025-01-11T00:00:00"/>
    <n v="2"/>
    <n v="132"/>
    <x v="1"/>
    <x v="0"/>
    <x v="0"/>
    <x v="1"/>
    <x v="6"/>
    <x v="5"/>
    <n v="7"/>
    <n v="132"/>
    <n v="264"/>
    <n v="132"/>
  </r>
  <r>
    <s v="Douglas Ortiz"/>
    <x v="4"/>
    <s v="Cereal"/>
    <d v="2024-08-22T00:00:00"/>
    <d v="2024-09-05T00:00:00"/>
    <n v="2"/>
    <n v="604"/>
    <x v="0"/>
    <x v="5"/>
    <x v="2"/>
    <x v="0"/>
    <x v="0"/>
    <x v="1"/>
    <n v="14"/>
    <n v="664"/>
    <n v="1208"/>
    <n v="544"/>
  </r>
  <r>
    <s v="Dustin Newman"/>
    <x v="4"/>
    <s v="Cereal"/>
    <d v="2025-07-25T00:00:00"/>
    <d v="2025-08-01T00:00:00"/>
    <n v="3"/>
    <n v="486"/>
    <x v="0"/>
    <x v="1"/>
    <x v="3"/>
    <x v="1"/>
    <x v="7"/>
    <x v="6"/>
    <n v="7"/>
    <n v="802"/>
    <n v="1458"/>
    <n v="656"/>
  </r>
  <r>
    <s v="Dwayne Campbell"/>
    <x v="1"/>
    <s v="Headphones"/>
    <d v="2024-03-09T00:00:00"/>
    <d v="2024-03-13T00:00:00"/>
    <n v="8"/>
    <n v="693"/>
    <x v="1"/>
    <x v="2"/>
    <x v="2"/>
    <x v="0"/>
    <x v="10"/>
    <x v="5"/>
    <n v="4"/>
    <n v="3604"/>
    <n v="5544"/>
    <n v="1940"/>
  </r>
  <r>
    <s v="Dwayne Campbell"/>
    <x v="4"/>
    <s v="Juice"/>
    <d v="2025-05-16T00:00:00"/>
    <d v="2025-05-20T00:00:00"/>
    <n v="10"/>
    <n v="102"/>
    <x v="1"/>
    <x v="0"/>
    <x v="0"/>
    <x v="1"/>
    <x v="1"/>
    <x v="6"/>
    <n v="4"/>
    <n v="561"/>
    <n v="1020"/>
    <n v="459"/>
  </r>
  <r>
    <s v="Dylan Hughes"/>
    <x v="2"/>
    <s v="Children's Book"/>
    <d v="2025-06-13T00:00:00"/>
    <d v="2025-06-20T00:00:00"/>
    <n v="10"/>
    <n v="525"/>
    <x v="1"/>
    <x v="1"/>
    <x v="3"/>
    <x v="1"/>
    <x v="2"/>
    <x v="6"/>
    <n v="7"/>
    <n v="3150"/>
    <n v="5250"/>
    <n v="2100"/>
  </r>
  <r>
    <s v="Edward Fuller"/>
    <x v="4"/>
    <s v="Cereal"/>
    <d v="2024-05-22T00:00:00"/>
    <d v="2024-05-27T00:00:00"/>
    <n v="3"/>
    <n v="230"/>
    <x v="0"/>
    <x v="1"/>
    <x v="1"/>
    <x v="0"/>
    <x v="1"/>
    <x v="0"/>
    <n v="5"/>
    <n v="380"/>
    <n v="690"/>
    <n v="310"/>
  </r>
  <r>
    <s v="Edward York"/>
    <x v="4"/>
    <s v="Pasta"/>
    <d v="2024-06-19T00:00:00"/>
    <d v="2024-07-03T00:00:00"/>
    <n v="5"/>
    <n v="989"/>
    <x v="0"/>
    <x v="4"/>
    <x v="2"/>
    <x v="0"/>
    <x v="2"/>
    <x v="0"/>
    <n v="14"/>
    <n v="2967"/>
    <n v="4945"/>
    <n v="1978"/>
  </r>
  <r>
    <s v="Edwin Reyes"/>
    <x v="2"/>
    <s v="Children's Book"/>
    <d v="2025-07-12T00:00:00"/>
    <d v="2025-07-20T00:00:00"/>
    <n v="8"/>
    <n v="779"/>
    <x v="0"/>
    <x v="0"/>
    <x v="0"/>
    <x v="1"/>
    <x v="7"/>
    <x v="5"/>
    <n v="8"/>
    <n v="3739"/>
    <n v="6232"/>
    <n v="2493"/>
  </r>
  <r>
    <s v="Elizabeth Miller"/>
    <x v="4"/>
    <s v="Milk"/>
    <d v="2025-05-16T00:00:00"/>
    <d v="2025-05-25T00:00:00"/>
    <n v="4"/>
    <n v="959"/>
    <x v="0"/>
    <x v="0"/>
    <x v="0"/>
    <x v="1"/>
    <x v="1"/>
    <x v="6"/>
    <n v="9"/>
    <n v="1918"/>
    <n v="3836"/>
    <n v="1918"/>
  </r>
  <r>
    <s v="Elizabeth Ortiz"/>
    <x v="1"/>
    <s v="Laptop"/>
    <d v="2024-06-10T00:00:00"/>
    <d v="2024-06-19T00:00:00"/>
    <n v="2"/>
    <n v="770"/>
    <x v="0"/>
    <x v="2"/>
    <x v="3"/>
    <x v="0"/>
    <x v="2"/>
    <x v="3"/>
    <n v="9"/>
    <n v="1309"/>
    <n v="1540"/>
    <n v="231"/>
  </r>
  <r>
    <s v="Elizabeth Ward"/>
    <x v="4"/>
    <s v="Milk"/>
    <d v="2024-12-11T00:00:00"/>
    <d v="2024-12-21T00:00:00"/>
    <n v="4"/>
    <n v="533"/>
    <x v="1"/>
    <x v="0"/>
    <x v="3"/>
    <x v="0"/>
    <x v="8"/>
    <x v="0"/>
    <n v="10"/>
    <n v="1066"/>
    <n v="2132"/>
    <n v="1066"/>
  </r>
  <r>
    <s v="Elizabeth Ward"/>
    <x v="4"/>
    <s v="Juice"/>
    <d v="2025-11-25T00:00:00"/>
    <d v="2025-12-05T00:00:00"/>
    <n v="9"/>
    <n v="811"/>
    <x v="1"/>
    <x v="4"/>
    <x v="0"/>
    <x v="1"/>
    <x v="3"/>
    <x v="4"/>
    <n v="10"/>
    <n v="4014"/>
    <n v="7299"/>
    <n v="3285"/>
  </r>
  <r>
    <s v="Elizabeth Williams"/>
    <x v="0"/>
    <s v="Curtains"/>
    <d v="2025-11-04T00:00:00"/>
    <d v="2025-11-10T00:00:00"/>
    <n v="10"/>
    <n v="85"/>
    <x v="0"/>
    <x v="6"/>
    <x v="0"/>
    <x v="1"/>
    <x v="3"/>
    <x v="4"/>
    <n v="6"/>
    <n v="553"/>
    <n v="850"/>
    <n v="297"/>
  </r>
  <r>
    <s v="Emily Collins"/>
    <x v="3"/>
    <s v="Jacket"/>
    <d v="2025-12-16T00:00:00"/>
    <d v="2025-12-31T00:00:00"/>
    <n v="8"/>
    <n v="179"/>
    <x v="1"/>
    <x v="2"/>
    <x v="0"/>
    <x v="1"/>
    <x v="8"/>
    <x v="4"/>
    <n v="15"/>
    <n v="1146"/>
    <n v="1432"/>
    <n v="286"/>
  </r>
  <r>
    <s v="Emily Edwards"/>
    <x v="2"/>
    <s v="Children's Book"/>
    <d v="2024-05-29T00:00:00"/>
    <d v="2024-06-12T00:00:00"/>
    <n v="1"/>
    <n v="247"/>
    <x v="1"/>
    <x v="6"/>
    <x v="0"/>
    <x v="0"/>
    <x v="1"/>
    <x v="0"/>
    <n v="14"/>
    <n v="148"/>
    <n v="247"/>
    <n v="99"/>
  </r>
  <r>
    <s v="Emily Price"/>
    <x v="4"/>
    <s v="Cereal"/>
    <d v="2024-09-19T00:00:00"/>
    <d v="2024-10-09T00:00:00"/>
    <n v="3"/>
    <n v="985"/>
    <x v="1"/>
    <x v="4"/>
    <x v="0"/>
    <x v="0"/>
    <x v="9"/>
    <x v="1"/>
    <n v="20"/>
    <n v="1625"/>
    <n v="2955"/>
    <n v="1330"/>
  </r>
  <r>
    <s v="Emily Smith"/>
    <x v="2"/>
    <s v="Non-Fiction"/>
    <d v="2025-03-06T00:00:00"/>
    <d v="2025-03-16T00:00:00"/>
    <n v="5"/>
    <n v="536"/>
    <x v="1"/>
    <x v="6"/>
    <x v="3"/>
    <x v="1"/>
    <x v="10"/>
    <x v="1"/>
    <n v="10"/>
    <n v="1340"/>
    <n v="2680"/>
    <n v="1340"/>
  </r>
  <r>
    <s v="Emily Taylor"/>
    <x v="4"/>
    <s v="Pasta"/>
    <d v="2024-06-23T00:00:00"/>
    <d v="2024-06-27T00:00:00"/>
    <n v="10"/>
    <n v="157"/>
    <x v="1"/>
    <x v="6"/>
    <x v="3"/>
    <x v="0"/>
    <x v="2"/>
    <x v="2"/>
    <n v="4"/>
    <n v="942"/>
    <n v="1570"/>
    <n v="628"/>
  </r>
  <r>
    <s v="Emma Owens"/>
    <x v="3"/>
    <s v="Jacket"/>
    <d v="2025-05-13T00:00:00"/>
    <d v="2025-05-16T00:00:00"/>
    <n v="10"/>
    <n v="253"/>
    <x v="0"/>
    <x v="1"/>
    <x v="1"/>
    <x v="1"/>
    <x v="1"/>
    <x v="4"/>
    <n v="3"/>
    <n v="2024"/>
    <n v="2530"/>
    <n v="506"/>
  </r>
  <r>
    <s v="Emma Travis"/>
    <x v="1"/>
    <s v="Smartphone"/>
    <d v="2025-12-12T00:00:00"/>
    <d v="2025-12-23T00:00:00"/>
    <n v="9"/>
    <n v="647"/>
    <x v="0"/>
    <x v="1"/>
    <x v="0"/>
    <x v="1"/>
    <x v="8"/>
    <x v="6"/>
    <n v="11"/>
    <n v="4367"/>
    <n v="5823"/>
    <n v="1456"/>
  </r>
  <r>
    <s v="Eric Clark"/>
    <x v="0"/>
    <s v="Wall Art"/>
    <d v="2024-12-21T00:00:00"/>
    <d v="2024-12-24T00:00:00"/>
    <n v="8"/>
    <n v="305"/>
    <x v="1"/>
    <x v="2"/>
    <x v="1"/>
    <x v="0"/>
    <x v="8"/>
    <x v="5"/>
    <n v="3"/>
    <n v="1708"/>
    <n v="2440"/>
    <n v="732"/>
  </r>
  <r>
    <s v="Eric Cooper"/>
    <x v="1"/>
    <s v="Laptop"/>
    <d v="2024-07-29T00:00:00"/>
    <d v="2024-08-04T00:00:00"/>
    <n v="1"/>
    <n v="293"/>
    <x v="1"/>
    <x v="1"/>
    <x v="1"/>
    <x v="0"/>
    <x v="7"/>
    <x v="3"/>
    <n v="6"/>
    <n v="249"/>
    <n v="293"/>
    <n v="44"/>
  </r>
  <r>
    <s v="Eric Patrick"/>
    <x v="1"/>
    <s v="Headphones"/>
    <d v="2024-02-10T00:00:00"/>
    <d v="2024-02-18T00:00:00"/>
    <n v="7"/>
    <n v="626"/>
    <x v="1"/>
    <x v="1"/>
    <x v="0"/>
    <x v="0"/>
    <x v="11"/>
    <x v="5"/>
    <n v="8"/>
    <n v="2848"/>
    <n v="4382"/>
    <n v="1534"/>
  </r>
  <r>
    <s v="Erica Rivera"/>
    <x v="2"/>
    <s v="Biography"/>
    <d v="2024-07-15T00:00:00"/>
    <d v="2024-07-28T00:00:00"/>
    <n v="3"/>
    <n v="819"/>
    <x v="1"/>
    <x v="2"/>
    <x v="2"/>
    <x v="0"/>
    <x v="7"/>
    <x v="3"/>
    <n v="13"/>
    <n v="1351"/>
    <n v="2457"/>
    <n v="1106"/>
  </r>
  <r>
    <s v="Erin Carter"/>
    <x v="0"/>
    <s v="Curtains"/>
    <d v="2025-04-21T00:00:00"/>
    <d v="2025-04-25T00:00:00"/>
    <n v="5"/>
    <n v="664"/>
    <x v="1"/>
    <x v="2"/>
    <x v="1"/>
    <x v="1"/>
    <x v="5"/>
    <x v="3"/>
    <n v="4"/>
    <n v="2158"/>
    <n v="3320"/>
    <n v="1162"/>
  </r>
  <r>
    <s v="Ernest Oconnell"/>
    <x v="2"/>
    <s v="Cookbook"/>
    <d v="2024-09-16T00:00:00"/>
    <d v="2024-09-23T00:00:00"/>
    <n v="9"/>
    <n v="30"/>
    <x v="0"/>
    <x v="0"/>
    <x v="2"/>
    <x v="0"/>
    <x v="9"/>
    <x v="3"/>
    <n v="7"/>
    <n v="176"/>
    <n v="270"/>
    <n v="94"/>
  </r>
  <r>
    <s v="Evan Jones"/>
    <x v="4"/>
    <s v="Cereal"/>
    <d v="2025-10-02T00:00:00"/>
    <d v="2025-10-12T00:00:00"/>
    <n v="5"/>
    <n v="50"/>
    <x v="1"/>
    <x v="6"/>
    <x v="1"/>
    <x v="1"/>
    <x v="4"/>
    <x v="1"/>
    <n v="10"/>
    <n v="138"/>
    <n v="250"/>
    <n v="112"/>
  </r>
  <r>
    <s v="Felicia Aguilar"/>
    <x v="4"/>
    <s v="Milk"/>
    <d v="2025-03-16T00:00:00"/>
    <d v="2025-03-29T00:00:00"/>
    <n v="4"/>
    <n v="468"/>
    <x v="1"/>
    <x v="1"/>
    <x v="2"/>
    <x v="1"/>
    <x v="10"/>
    <x v="2"/>
    <n v="13"/>
    <n v="936"/>
    <n v="1872"/>
    <n v="936"/>
  </r>
  <r>
    <s v="Fernando Lynn"/>
    <x v="4"/>
    <s v="Pasta"/>
    <d v="2024-08-16T00:00:00"/>
    <d v="2024-08-29T00:00:00"/>
    <n v="5"/>
    <n v="986"/>
    <x v="1"/>
    <x v="6"/>
    <x v="2"/>
    <x v="0"/>
    <x v="0"/>
    <x v="6"/>
    <n v="13"/>
    <n v="2958"/>
    <n v="4930"/>
    <n v="1972"/>
  </r>
  <r>
    <s v="Frank Garcia"/>
    <x v="0"/>
    <s v="Curtains"/>
    <d v="2025-08-18T00:00:00"/>
    <d v="2025-08-27T00:00:00"/>
    <n v="9"/>
    <n v="385"/>
    <x v="1"/>
    <x v="2"/>
    <x v="0"/>
    <x v="1"/>
    <x v="0"/>
    <x v="3"/>
    <n v="9"/>
    <n v="2252"/>
    <n v="3465"/>
    <n v="1213"/>
  </r>
  <r>
    <s v="Gary Wilson"/>
    <x v="3"/>
    <s v="Sneakers"/>
    <d v="2024-10-14T00:00:00"/>
    <d v="2024-10-28T00:00:00"/>
    <n v="9"/>
    <n v="678"/>
    <x v="1"/>
    <x v="0"/>
    <x v="3"/>
    <x v="0"/>
    <x v="4"/>
    <x v="3"/>
    <n v="14"/>
    <n v="4577"/>
    <n v="6102"/>
    <n v="1525"/>
  </r>
  <r>
    <s v="George Miranda"/>
    <x v="3"/>
    <s v="T-Shirt"/>
    <d v="2024-08-28T00:00:00"/>
    <d v="2024-09-04T00:00:00"/>
    <n v="5"/>
    <n v="356"/>
    <x v="1"/>
    <x v="2"/>
    <x v="2"/>
    <x v="0"/>
    <x v="0"/>
    <x v="0"/>
    <n v="7"/>
    <n v="1157"/>
    <n v="1780"/>
    <n v="623"/>
  </r>
  <r>
    <s v="George Orozco"/>
    <x v="3"/>
    <s v="Jacket"/>
    <d v="2024-04-14T00:00:00"/>
    <d v="2024-04-28T00:00:00"/>
    <n v="5"/>
    <n v="527"/>
    <x v="0"/>
    <x v="0"/>
    <x v="1"/>
    <x v="0"/>
    <x v="5"/>
    <x v="2"/>
    <n v="14"/>
    <n v="2108"/>
    <n v="2635"/>
    <n v="527"/>
  </r>
  <r>
    <s v="George Orozco"/>
    <x v="4"/>
    <s v="Cereal"/>
    <d v="2025-03-17T00:00:00"/>
    <d v="2025-03-20T00:00:00"/>
    <n v="8"/>
    <n v="858"/>
    <x v="1"/>
    <x v="6"/>
    <x v="1"/>
    <x v="1"/>
    <x v="10"/>
    <x v="3"/>
    <n v="3"/>
    <n v="3775"/>
    <n v="6864"/>
    <n v="3089"/>
  </r>
  <r>
    <s v="Gloria Gomez"/>
    <x v="2"/>
    <s v="Biography"/>
    <d v="2024-02-28T00:00:00"/>
    <d v="2024-03-03T00:00:00"/>
    <n v="5"/>
    <n v="597"/>
    <x v="1"/>
    <x v="4"/>
    <x v="3"/>
    <x v="0"/>
    <x v="11"/>
    <x v="0"/>
    <n v="4"/>
    <n v="1642"/>
    <n v="2985"/>
    <n v="1343"/>
  </r>
  <r>
    <s v="Greg Edwards"/>
    <x v="0"/>
    <s v="Vase"/>
    <d v="2024-12-15T00:00:00"/>
    <d v="2024-12-20T00:00:00"/>
    <n v="3"/>
    <n v="791"/>
    <x v="0"/>
    <x v="0"/>
    <x v="2"/>
    <x v="0"/>
    <x v="8"/>
    <x v="2"/>
    <n v="5"/>
    <n v="1780"/>
    <n v="2373"/>
    <n v="593"/>
  </r>
  <r>
    <s v="Gregory Oconnor"/>
    <x v="2"/>
    <s v="Biography"/>
    <d v="2024-11-21T00:00:00"/>
    <d v="2024-11-25T00:00:00"/>
    <n v="1"/>
    <n v="983"/>
    <x v="1"/>
    <x v="6"/>
    <x v="1"/>
    <x v="0"/>
    <x v="3"/>
    <x v="1"/>
    <n v="4"/>
    <n v="541"/>
    <n v="983"/>
    <n v="442"/>
  </r>
  <r>
    <s v="Hailey Monroe"/>
    <x v="3"/>
    <s v="Sneakers"/>
    <d v="2025-07-01T00:00:00"/>
    <d v="2025-07-08T00:00:00"/>
    <n v="1"/>
    <n v="284"/>
    <x v="0"/>
    <x v="0"/>
    <x v="3"/>
    <x v="1"/>
    <x v="7"/>
    <x v="4"/>
    <n v="7"/>
    <n v="213"/>
    <n v="284"/>
    <n v="71"/>
  </r>
  <r>
    <s v="Haley Quinn"/>
    <x v="1"/>
    <s v="Headphones"/>
    <d v="2025-10-01T00:00:00"/>
    <d v="2025-10-06T00:00:00"/>
    <n v="8"/>
    <n v="731"/>
    <x v="0"/>
    <x v="6"/>
    <x v="3"/>
    <x v="1"/>
    <x v="4"/>
    <x v="0"/>
    <n v="5"/>
    <n v="3801"/>
    <n v="5848"/>
    <n v="2047"/>
  </r>
  <r>
    <s v="Hannah Richmond"/>
    <x v="2"/>
    <s v="Children's Book"/>
    <d v="2024-06-24T00:00:00"/>
    <d v="2024-06-28T00:00:00"/>
    <n v="1"/>
    <n v="57"/>
    <x v="0"/>
    <x v="5"/>
    <x v="0"/>
    <x v="0"/>
    <x v="2"/>
    <x v="3"/>
    <n v="4"/>
    <n v="34"/>
    <n v="57"/>
    <n v="23"/>
  </r>
  <r>
    <s v="Hayden Shannon"/>
    <x v="4"/>
    <s v="Rice"/>
    <d v="2024-03-08T00:00:00"/>
    <d v="2024-03-15T00:00:00"/>
    <n v="10"/>
    <n v="241"/>
    <x v="0"/>
    <x v="3"/>
    <x v="1"/>
    <x v="0"/>
    <x v="10"/>
    <x v="6"/>
    <n v="7"/>
    <n v="1446"/>
    <n v="2410"/>
    <n v="964"/>
  </r>
  <r>
    <s v="Heather Ashley"/>
    <x v="4"/>
    <s v="Juice"/>
    <d v="2025-07-20T00:00:00"/>
    <d v="2025-07-28T00:00:00"/>
    <n v="7"/>
    <n v="474"/>
    <x v="0"/>
    <x v="0"/>
    <x v="2"/>
    <x v="1"/>
    <x v="7"/>
    <x v="2"/>
    <n v="8"/>
    <n v="1825"/>
    <n v="3318"/>
    <n v="1493"/>
  </r>
  <r>
    <s v="Heather Bennett"/>
    <x v="3"/>
    <s v="Jacket"/>
    <d v="2025-09-25T00:00:00"/>
    <d v="2025-09-30T00:00:00"/>
    <n v="6"/>
    <n v="993"/>
    <x v="1"/>
    <x v="6"/>
    <x v="2"/>
    <x v="1"/>
    <x v="9"/>
    <x v="1"/>
    <n v="5"/>
    <n v="4766"/>
    <n v="5958"/>
    <n v="1192"/>
  </r>
  <r>
    <s v="Heather Taylor"/>
    <x v="3"/>
    <s v="Dress"/>
    <d v="2024-05-05T00:00:00"/>
    <d v="2024-05-09T00:00:00"/>
    <n v="3"/>
    <n v="16"/>
    <x v="0"/>
    <x v="0"/>
    <x v="0"/>
    <x v="0"/>
    <x v="1"/>
    <x v="2"/>
    <n v="4"/>
    <n v="34"/>
    <n v="48"/>
    <n v="14"/>
  </r>
  <r>
    <s v="Heidi Brown"/>
    <x v="1"/>
    <s v="Camera"/>
    <d v="2025-03-23T00:00:00"/>
    <d v="2025-03-29T00:00:00"/>
    <n v="3"/>
    <n v="561"/>
    <x v="0"/>
    <x v="2"/>
    <x v="0"/>
    <x v="1"/>
    <x v="10"/>
    <x v="2"/>
    <n v="6"/>
    <n v="1346"/>
    <n v="1683"/>
    <n v="337"/>
  </r>
  <r>
    <s v="Howard Norman"/>
    <x v="3"/>
    <s v="T-Shirt"/>
    <d v="2024-11-17T00:00:00"/>
    <d v="2024-11-23T00:00:00"/>
    <n v="1"/>
    <n v="326"/>
    <x v="0"/>
    <x v="1"/>
    <x v="3"/>
    <x v="0"/>
    <x v="3"/>
    <x v="2"/>
    <n v="6"/>
    <n v="212"/>
    <n v="326"/>
    <n v="114"/>
  </r>
  <r>
    <s v="Ian Frazier"/>
    <x v="1"/>
    <s v="Camera"/>
    <d v="2024-04-11T00:00:00"/>
    <d v="2024-04-21T00:00:00"/>
    <n v="8"/>
    <n v="616"/>
    <x v="0"/>
    <x v="0"/>
    <x v="0"/>
    <x v="0"/>
    <x v="5"/>
    <x v="1"/>
    <n v="10"/>
    <n v="3942"/>
    <n v="4928"/>
    <n v="986"/>
  </r>
  <r>
    <s v="Jack Snow"/>
    <x v="3"/>
    <s v="Jeans"/>
    <d v="2025-05-16T00:00:00"/>
    <d v="2025-05-22T00:00:00"/>
    <n v="10"/>
    <n v="434"/>
    <x v="0"/>
    <x v="0"/>
    <x v="2"/>
    <x v="1"/>
    <x v="1"/>
    <x v="6"/>
    <n v="6"/>
    <n v="3038"/>
    <n v="4340"/>
    <n v="1302"/>
  </r>
  <r>
    <s v="Jackson Ball"/>
    <x v="1"/>
    <s v="Tablet"/>
    <d v="2024-12-11T00:00:00"/>
    <d v="2024-12-23T00:00:00"/>
    <n v="9"/>
    <n v="399"/>
    <x v="1"/>
    <x v="6"/>
    <x v="2"/>
    <x v="0"/>
    <x v="8"/>
    <x v="0"/>
    <n v="12"/>
    <n v="2514"/>
    <n v="3591"/>
    <n v="1077"/>
  </r>
  <r>
    <s v="Jacob Bonilla"/>
    <x v="4"/>
    <s v="Juice"/>
    <d v="2024-06-02T00:00:00"/>
    <d v="2024-06-15T00:00:00"/>
    <n v="10"/>
    <n v="354"/>
    <x v="1"/>
    <x v="2"/>
    <x v="3"/>
    <x v="0"/>
    <x v="2"/>
    <x v="2"/>
    <n v="13"/>
    <n v="1947"/>
    <n v="3540"/>
    <n v="1593"/>
  </r>
  <r>
    <s v="Jacob Perkins"/>
    <x v="3"/>
    <s v="Sneakers"/>
    <d v="2024-07-09T00:00:00"/>
    <d v="2024-07-20T00:00:00"/>
    <n v="2"/>
    <n v="606"/>
    <x v="0"/>
    <x v="3"/>
    <x v="2"/>
    <x v="0"/>
    <x v="7"/>
    <x v="4"/>
    <n v="11"/>
    <n v="909"/>
    <n v="1212"/>
    <n v="303"/>
  </r>
  <r>
    <s v="Jacqueline Williams"/>
    <x v="0"/>
    <s v="Curtains"/>
    <d v="2025-10-08T00:00:00"/>
    <d v="2025-10-10T00:00:00"/>
    <n v="5"/>
    <n v="720"/>
    <x v="0"/>
    <x v="4"/>
    <x v="0"/>
    <x v="1"/>
    <x v="4"/>
    <x v="0"/>
    <n v="2"/>
    <n v="2340"/>
    <n v="3600"/>
    <n v="1260"/>
  </r>
  <r>
    <s v="Jaime Lang"/>
    <x v="0"/>
    <s v="Curtains"/>
    <d v="2025-05-25T00:00:00"/>
    <d v="2025-06-06T00:00:00"/>
    <n v="9"/>
    <n v="164"/>
    <x v="1"/>
    <x v="6"/>
    <x v="2"/>
    <x v="1"/>
    <x v="1"/>
    <x v="2"/>
    <n v="12"/>
    <n v="959"/>
    <n v="1476"/>
    <n v="517"/>
  </r>
  <r>
    <s v="James Bailey"/>
    <x v="3"/>
    <s v="Sneakers"/>
    <d v="2024-10-11T00:00:00"/>
    <d v="2024-10-19T00:00:00"/>
    <n v="8"/>
    <n v="58"/>
    <x v="1"/>
    <x v="6"/>
    <x v="3"/>
    <x v="0"/>
    <x v="4"/>
    <x v="6"/>
    <n v="8"/>
    <n v="348"/>
    <n v="464"/>
    <n v="116"/>
  </r>
  <r>
    <s v="James Davidson"/>
    <x v="3"/>
    <s v="Jacket"/>
    <d v="2025-07-09T00:00:00"/>
    <d v="2025-07-19T00:00:00"/>
    <n v="6"/>
    <n v="342"/>
    <x v="0"/>
    <x v="2"/>
    <x v="0"/>
    <x v="1"/>
    <x v="7"/>
    <x v="0"/>
    <n v="10"/>
    <n v="1642"/>
    <n v="2052"/>
    <n v="410"/>
  </r>
  <r>
    <s v="James Gilbert"/>
    <x v="4"/>
    <s v="Cereal"/>
    <d v="2024-09-19T00:00:00"/>
    <d v="2024-09-29T00:00:00"/>
    <n v="10"/>
    <n v="121"/>
    <x v="0"/>
    <x v="0"/>
    <x v="0"/>
    <x v="0"/>
    <x v="9"/>
    <x v="1"/>
    <n v="10"/>
    <n v="666"/>
    <n v="1210"/>
    <n v="544"/>
  </r>
  <r>
    <s v="James Tran"/>
    <x v="2"/>
    <s v="Cookbook"/>
    <d v="2024-08-02T00:00:00"/>
    <d v="2024-08-11T00:00:00"/>
    <n v="3"/>
    <n v="846"/>
    <x v="0"/>
    <x v="4"/>
    <x v="3"/>
    <x v="0"/>
    <x v="0"/>
    <x v="6"/>
    <n v="9"/>
    <n v="1650"/>
    <n v="2538"/>
    <n v="888"/>
  </r>
  <r>
    <s v="Jane Mitchell"/>
    <x v="2"/>
    <s v="Non-Fiction"/>
    <d v="2025-05-02T00:00:00"/>
    <d v="2025-05-04T00:00:00"/>
    <n v="4"/>
    <n v="578"/>
    <x v="0"/>
    <x v="4"/>
    <x v="3"/>
    <x v="1"/>
    <x v="1"/>
    <x v="6"/>
    <n v="2"/>
    <n v="1156"/>
    <n v="2312"/>
    <n v="1156"/>
  </r>
  <r>
    <s v="Janice Petty"/>
    <x v="2"/>
    <s v="Fiction"/>
    <d v="2024-11-01T00:00:00"/>
    <d v="2024-11-06T00:00:00"/>
    <n v="10"/>
    <n v="813"/>
    <x v="0"/>
    <x v="6"/>
    <x v="2"/>
    <x v="0"/>
    <x v="3"/>
    <x v="6"/>
    <n v="5"/>
    <n v="4065"/>
    <n v="8130"/>
    <n v="4065"/>
  </r>
  <r>
    <s v="Jason Bauer"/>
    <x v="0"/>
    <s v="Table Lamp"/>
    <d v="2025-04-12T00:00:00"/>
    <d v="2025-04-20T00:00:00"/>
    <n v="7"/>
    <n v="744"/>
    <x v="0"/>
    <x v="0"/>
    <x v="1"/>
    <x v="1"/>
    <x v="5"/>
    <x v="5"/>
    <n v="8"/>
    <n v="3906"/>
    <n v="5208"/>
    <n v="1302"/>
  </r>
  <r>
    <s v="Jason Bell"/>
    <x v="4"/>
    <s v="Rice"/>
    <d v="2024-05-03T00:00:00"/>
    <d v="2024-05-07T00:00:00"/>
    <n v="8"/>
    <n v="663"/>
    <x v="1"/>
    <x v="3"/>
    <x v="0"/>
    <x v="0"/>
    <x v="1"/>
    <x v="6"/>
    <n v="4"/>
    <n v="3182"/>
    <n v="5304"/>
    <n v="2122"/>
  </r>
  <r>
    <s v="Jason Floyd"/>
    <x v="2"/>
    <s v="Non-Fiction"/>
    <d v="2024-07-07T00:00:00"/>
    <d v="2024-07-17T00:00:00"/>
    <n v="3"/>
    <n v="271"/>
    <x v="1"/>
    <x v="1"/>
    <x v="2"/>
    <x v="0"/>
    <x v="7"/>
    <x v="2"/>
    <n v="10"/>
    <n v="407"/>
    <n v="813"/>
    <n v="406"/>
  </r>
  <r>
    <s v="Jason Hernandez"/>
    <x v="2"/>
    <s v="Non-Fiction"/>
    <d v="2024-06-13T00:00:00"/>
    <d v="2024-06-18T00:00:00"/>
    <n v="10"/>
    <n v="497"/>
    <x v="0"/>
    <x v="2"/>
    <x v="3"/>
    <x v="0"/>
    <x v="2"/>
    <x v="1"/>
    <n v="5"/>
    <n v="2485"/>
    <n v="4970"/>
    <n v="2485"/>
  </r>
  <r>
    <s v="Jason Mack"/>
    <x v="1"/>
    <s v="Laptop"/>
    <d v="2024-05-11T00:00:00"/>
    <d v="2024-05-23T00:00:00"/>
    <n v="4"/>
    <n v="187"/>
    <x v="1"/>
    <x v="2"/>
    <x v="2"/>
    <x v="0"/>
    <x v="1"/>
    <x v="5"/>
    <n v="12"/>
    <n v="636"/>
    <n v="748"/>
    <n v="112"/>
  </r>
  <r>
    <s v="Jason Powell"/>
    <x v="0"/>
    <s v="Table Lamp"/>
    <d v="2025-07-13T00:00:00"/>
    <d v="2025-07-18T00:00:00"/>
    <n v="10"/>
    <n v="974"/>
    <x v="0"/>
    <x v="0"/>
    <x v="1"/>
    <x v="1"/>
    <x v="7"/>
    <x v="2"/>
    <n v="5"/>
    <n v="7305"/>
    <n v="9740"/>
    <n v="2435"/>
  </r>
  <r>
    <s v="Jason Price"/>
    <x v="3"/>
    <s v="T-Shirt"/>
    <d v="2025-02-28T00:00:00"/>
    <d v="2025-03-10T00:00:00"/>
    <n v="8"/>
    <n v="733"/>
    <x v="0"/>
    <x v="4"/>
    <x v="3"/>
    <x v="1"/>
    <x v="11"/>
    <x v="6"/>
    <n v="10"/>
    <n v="3812"/>
    <n v="5864"/>
    <n v="2052"/>
  </r>
  <r>
    <s v="Jason Williams"/>
    <x v="0"/>
    <s v="Table Lamp"/>
    <d v="2024-02-08T00:00:00"/>
    <d v="2024-02-21T00:00:00"/>
    <n v="5"/>
    <n v="930"/>
    <x v="1"/>
    <x v="2"/>
    <x v="1"/>
    <x v="0"/>
    <x v="11"/>
    <x v="1"/>
    <n v="13"/>
    <n v="3488"/>
    <n v="4650"/>
    <n v="1162"/>
  </r>
  <r>
    <s v="Jay Bennett"/>
    <x v="1"/>
    <s v="Headphones"/>
    <d v="2024-01-19T00:00:00"/>
    <d v="2024-02-02T00:00:00"/>
    <n v="5"/>
    <n v="216"/>
    <x v="0"/>
    <x v="4"/>
    <x v="3"/>
    <x v="0"/>
    <x v="6"/>
    <x v="6"/>
    <n v="14"/>
    <n v="702"/>
    <n v="1080"/>
    <n v="378"/>
  </r>
  <r>
    <s v="Jeffrey Carpenter"/>
    <x v="4"/>
    <s v="Juice"/>
    <d v="2024-10-16T00:00:00"/>
    <d v="2024-10-21T00:00:00"/>
    <n v="9"/>
    <n v="333"/>
    <x v="1"/>
    <x v="6"/>
    <x v="3"/>
    <x v="0"/>
    <x v="4"/>
    <x v="0"/>
    <n v="5"/>
    <n v="1648"/>
    <n v="2997"/>
    <n v="1349"/>
  </r>
  <r>
    <s v="Jeffrey Carpenter"/>
    <x v="0"/>
    <s v="Wall Art"/>
    <d v="2025-10-19T00:00:00"/>
    <d v="2025-10-31T00:00:00"/>
    <n v="7"/>
    <n v="50"/>
    <x v="1"/>
    <x v="0"/>
    <x v="0"/>
    <x v="1"/>
    <x v="4"/>
    <x v="2"/>
    <n v="12"/>
    <n v="245"/>
    <n v="350"/>
    <n v="105"/>
  </r>
  <r>
    <s v="Jeffrey Wood"/>
    <x v="2"/>
    <s v="Biography"/>
    <d v="2024-01-15T00:00:00"/>
    <d v="2024-01-18T00:00:00"/>
    <n v="2"/>
    <n v="908"/>
    <x v="1"/>
    <x v="6"/>
    <x v="3"/>
    <x v="0"/>
    <x v="6"/>
    <x v="3"/>
    <n v="3"/>
    <n v="999"/>
    <n v="1816"/>
    <n v="817"/>
  </r>
  <r>
    <s v="Jeffrey Wood"/>
    <x v="0"/>
    <s v="Table Lamp"/>
    <d v="2025-02-26T00:00:00"/>
    <d v="2025-03-05T00:00:00"/>
    <n v="1"/>
    <n v="444"/>
    <x v="1"/>
    <x v="0"/>
    <x v="2"/>
    <x v="1"/>
    <x v="11"/>
    <x v="0"/>
    <n v="7"/>
    <n v="333"/>
    <n v="444"/>
    <n v="111"/>
  </r>
  <r>
    <s v="Jennifer Anderson MD"/>
    <x v="3"/>
    <s v="Dress"/>
    <d v="2024-08-01T00:00:00"/>
    <d v="2024-08-11T00:00:00"/>
    <n v="10"/>
    <n v="664"/>
    <x v="1"/>
    <x v="4"/>
    <x v="3"/>
    <x v="0"/>
    <x v="0"/>
    <x v="1"/>
    <n v="10"/>
    <n v="4648"/>
    <n v="6640"/>
    <n v="1992"/>
  </r>
  <r>
    <s v="Jennifer Ayala"/>
    <x v="1"/>
    <s v="Tablet"/>
    <d v="2024-04-24T00:00:00"/>
    <d v="2024-05-06T00:00:00"/>
    <n v="1"/>
    <n v="336"/>
    <x v="0"/>
    <x v="4"/>
    <x v="1"/>
    <x v="0"/>
    <x v="5"/>
    <x v="0"/>
    <n v="12"/>
    <n v="235"/>
    <n v="336"/>
    <n v="101"/>
  </r>
  <r>
    <s v="Jennifer Gomez"/>
    <x v="3"/>
    <s v="Sneakers"/>
    <d v="2024-12-01T00:00:00"/>
    <d v="2024-12-10T00:00:00"/>
    <n v="2"/>
    <n v="730"/>
    <x v="0"/>
    <x v="5"/>
    <x v="1"/>
    <x v="0"/>
    <x v="8"/>
    <x v="2"/>
    <n v="9"/>
    <n v="1095"/>
    <n v="1460"/>
    <n v="365"/>
  </r>
  <r>
    <s v="Jennifer Spencer"/>
    <x v="1"/>
    <s v="Headphones"/>
    <d v="2024-06-06T00:00:00"/>
    <d v="2024-06-18T00:00:00"/>
    <n v="3"/>
    <n v="425"/>
    <x v="1"/>
    <x v="2"/>
    <x v="3"/>
    <x v="0"/>
    <x v="2"/>
    <x v="1"/>
    <n v="12"/>
    <n v="829"/>
    <n v="1275"/>
    <n v="446"/>
  </r>
  <r>
    <s v="Jennifer Taylor"/>
    <x v="2"/>
    <s v="Non-Fiction"/>
    <d v="2025-02-19T00:00:00"/>
    <d v="2025-02-23T00:00:00"/>
    <n v="7"/>
    <n v="855"/>
    <x v="1"/>
    <x v="0"/>
    <x v="2"/>
    <x v="1"/>
    <x v="11"/>
    <x v="0"/>
    <n v="4"/>
    <n v="2993"/>
    <n v="5985"/>
    <n v="2992"/>
  </r>
  <r>
    <s v="jenny benny"/>
    <x v="1"/>
    <s v="Camera"/>
    <d v="2024-06-10T00:00:00"/>
    <d v="2024-06-20T00:00:00"/>
    <n v="2"/>
    <n v="200"/>
    <x v="0"/>
    <x v="3"/>
    <x v="3"/>
    <x v="0"/>
    <x v="2"/>
    <x v="3"/>
    <n v="10"/>
    <n v="320"/>
    <n v="400"/>
    <n v="80"/>
  </r>
  <r>
    <s v="Jesse Barker"/>
    <x v="2"/>
    <s v="Biography"/>
    <d v="2024-03-30T00:00:00"/>
    <d v="2024-04-05T00:00:00"/>
    <n v="2"/>
    <n v="686"/>
    <x v="0"/>
    <x v="1"/>
    <x v="2"/>
    <x v="0"/>
    <x v="10"/>
    <x v="5"/>
    <n v="6"/>
    <n v="755"/>
    <n v="1372"/>
    <n v="617"/>
  </r>
  <r>
    <s v="Jesse Santiago"/>
    <x v="4"/>
    <s v="Cereal"/>
    <d v="2025-06-03T00:00:00"/>
    <d v="2025-06-07T00:00:00"/>
    <n v="10"/>
    <n v="325"/>
    <x v="1"/>
    <x v="2"/>
    <x v="3"/>
    <x v="1"/>
    <x v="2"/>
    <x v="4"/>
    <n v="4"/>
    <n v="1788"/>
    <n v="3250"/>
    <n v="1462"/>
  </r>
  <r>
    <s v="Jesse Ward"/>
    <x v="2"/>
    <s v="Children's Book"/>
    <d v="2024-10-08T00:00:00"/>
    <d v="2024-10-12T00:00:00"/>
    <n v="5"/>
    <n v="855"/>
    <x v="0"/>
    <x v="2"/>
    <x v="0"/>
    <x v="0"/>
    <x v="4"/>
    <x v="4"/>
    <n v="4"/>
    <n v="2565"/>
    <n v="4275"/>
    <n v="1710"/>
  </r>
  <r>
    <s v="Jessica Conrad"/>
    <x v="1"/>
    <s v="Smartphone"/>
    <d v="2024-08-24T00:00:00"/>
    <d v="2024-08-30T00:00:00"/>
    <n v="1"/>
    <n v="182"/>
    <x v="1"/>
    <x v="3"/>
    <x v="1"/>
    <x v="0"/>
    <x v="0"/>
    <x v="5"/>
    <n v="6"/>
    <n v="137"/>
    <n v="182"/>
    <n v="45"/>
  </r>
  <r>
    <s v="Jessica Harris"/>
    <x v="4"/>
    <s v="Cereal"/>
    <d v="2024-10-24T00:00:00"/>
    <d v="2024-10-30T00:00:00"/>
    <n v="1"/>
    <n v="899"/>
    <x v="1"/>
    <x v="1"/>
    <x v="3"/>
    <x v="0"/>
    <x v="4"/>
    <x v="1"/>
    <n v="6"/>
    <n v="494"/>
    <n v="899"/>
    <n v="405"/>
  </r>
  <r>
    <s v="Jessica Johnson"/>
    <x v="4"/>
    <s v="Juice"/>
    <d v="2025-11-14T00:00:00"/>
    <d v="2025-11-24T00:00:00"/>
    <n v="1"/>
    <n v="410"/>
    <x v="1"/>
    <x v="1"/>
    <x v="1"/>
    <x v="1"/>
    <x v="3"/>
    <x v="6"/>
    <n v="10"/>
    <n v="226"/>
    <n v="410"/>
    <n v="184"/>
  </r>
  <r>
    <s v="Jessica Martinez"/>
    <x v="3"/>
    <s v="T-Shirt"/>
    <d v="2025-08-14T00:00:00"/>
    <d v="2025-08-16T00:00:00"/>
    <n v="3"/>
    <n v="949"/>
    <x v="0"/>
    <x v="2"/>
    <x v="0"/>
    <x v="1"/>
    <x v="0"/>
    <x v="1"/>
    <n v="2"/>
    <n v="1851"/>
    <n v="2847"/>
    <n v="996"/>
  </r>
  <r>
    <s v="Jessica Richards"/>
    <x v="2"/>
    <s v="Fiction"/>
    <d v="2025-01-09T00:00:00"/>
    <d v="2025-01-16T00:00:00"/>
    <n v="3"/>
    <n v="319"/>
    <x v="0"/>
    <x v="4"/>
    <x v="3"/>
    <x v="1"/>
    <x v="6"/>
    <x v="1"/>
    <n v="7"/>
    <n v="479"/>
    <n v="957"/>
    <n v="478"/>
  </r>
  <r>
    <s v="Jessica Rodriguez DDS"/>
    <x v="4"/>
    <s v="Cereal"/>
    <d v="2024-10-28T00:00:00"/>
    <d v="2024-11-04T00:00:00"/>
    <n v="7"/>
    <n v="322"/>
    <x v="0"/>
    <x v="2"/>
    <x v="0"/>
    <x v="0"/>
    <x v="4"/>
    <x v="3"/>
    <n v="7"/>
    <n v="1240"/>
    <n v="2254"/>
    <n v="1014"/>
  </r>
  <r>
    <s v="Jill Jackson"/>
    <x v="2"/>
    <s v="Children's Book"/>
    <d v="2024-10-14T00:00:00"/>
    <d v="2024-10-27T00:00:00"/>
    <n v="2"/>
    <n v="278"/>
    <x v="1"/>
    <x v="1"/>
    <x v="2"/>
    <x v="0"/>
    <x v="4"/>
    <x v="3"/>
    <n v="13"/>
    <n v="334"/>
    <n v="556"/>
    <n v="222"/>
  </r>
  <r>
    <s v="Jill Powers"/>
    <x v="1"/>
    <s v="Tablet"/>
    <d v="2024-09-16T00:00:00"/>
    <d v="2024-09-20T00:00:00"/>
    <n v="2"/>
    <n v="327"/>
    <x v="0"/>
    <x v="0"/>
    <x v="3"/>
    <x v="0"/>
    <x v="9"/>
    <x v="3"/>
    <n v="4"/>
    <n v="458"/>
    <n v="654"/>
    <n v="196"/>
  </r>
  <r>
    <s v="Joel King"/>
    <x v="4"/>
    <s v="Rice"/>
    <d v="2024-08-09T00:00:00"/>
    <d v="2024-08-15T00:00:00"/>
    <n v="6"/>
    <n v="660"/>
    <x v="1"/>
    <x v="1"/>
    <x v="1"/>
    <x v="0"/>
    <x v="0"/>
    <x v="6"/>
    <n v="6"/>
    <n v="2376"/>
    <n v="3960"/>
    <n v="1584"/>
  </r>
  <r>
    <s v="John Hernandez"/>
    <x v="1"/>
    <s v="Tablet"/>
    <d v="2024-06-01T00:00:00"/>
    <d v="2024-06-13T00:00:00"/>
    <n v="10"/>
    <n v="603"/>
    <x v="0"/>
    <x v="2"/>
    <x v="3"/>
    <x v="0"/>
    <x v="2"/>
    <x v="5"/>
    <n v="12"/>
    <n v="4221"/>
    <n v="6030"/>
    <n v="1809"/>
  </r>
  <r>
    <s v="Jonathan Clark"/>
    <x v="2"/>
    <s v="Children's Book"/>
    <d v="2024-06-28T00:00:00"/>
    <d v="2024-07-11T00:00:00"/>
    <n v="7"/>
    <n v="332"/>
    <x v="0"/>
    <x v="1"/>
    <x v="3"/>
    <x v="0"/>
    <x v="2"/>
    <x v="6"/>
    <n v="13"/>
    <n v="1394"/>
    <n v="2324"/>
    <n v="930"/>
  </r>
  <r>
    <s v="Jonathan Parks"/>
    <x v="1"/>
    <s v="Camera"/>
    <d v="2025-09-19T00:00:00"/>
    <d v="2025-09-22T00:00:00"/>
    <n v="2"/>
    <n v="722"/>
    <x v="0"/>
    <x v="0"/>
    <x v="3"/>
    <x v="1"/>
    <x v="9"/>
    <x v="6"/>
    <n v="3"/>
    <n v="1155"/>
    <n v="1444"/>
    <n v="289"/>
  </r>
  <r>
    <s v="Jonathan Young"/>
    <x v="3"/>
    <s v="Dress"/>
    <d v="2024-07-29T00:00:00"/>
    <d v="2024-08-09T00:00:00"/>
    <n v="10"/>
    <n v="708"/>
    <x v="0"/>
    <x v="1"/>
    <x v="0"/>
    <x v="0"/>
    <x v="7"/>
    <x v="3"/>
    <n v="11"/>
    <n v="4956"/>
    <n v="7080"/>
    <n v="2124"/>
  </r>
  <r>
    <s v="Jordan Moore"/>
    <x v="3"/>
    <s v="T-Shirt"/>
    <d v="2024-01-31T00:00:00"/>
    <d v="2024-02-14T00:00:00"/>
    <n v="3"/>
    <n v="821"/>
    <x v="1"/>
    <x v="6"/>
    <x v="2"/>
    <x v="0"/>
    <x v="6"/>
    <x v="0"/>
    <n v="14"/>
    <n v="1601"/>
    <n v="2463"/>
    <n v="862"/>
  </r>
  <r>
    <s v="Jose Crawford"/>
    <x v="0"/>
    <s v="Wall Art"/>
    <d v="2024-03-07T00:00:00"/>
    <d v="2024-03-13T00:00:00"/>
    <n v="10"/>
    <n v="735"/>
    <x v="1"/>
    <x v="4"/>
    <x v="1"/>
    <x v="0"/>
    <x v="10"/>
    <x v="1"/>
    <n v="6"/>
    <n v="5145"/>
    <n v="7350"/>
    <n v="2205"/>
  </r>
  <r>
    <s v="Joseph Blankenship"/>
    <x v="1"/>
    <s v="Tablet"/>
    <d v="2024-10-05T00:00:00"/>
    <d v="2024-10-09T00:00:00"/>
    <n v="6"/>
    <n v="565"/>
    <x v="1"/>
    <x v="1"/>
    <x v="3"/>
    <x v="0"/>
    <x v="4"/>
    <x v="5"/>
    <n v="4"/>
    <n v="2373"/>
    <n v="3390"/>
    <n v="1017"/>
  </r>
  <r>
    <s v="Joseph Coleman"/>
    <x v="1"/>
    <s v="Smartphone"/>
    <d v="2025-07-27T00:00:00"/>
    <d v="2025-08-02T00:00:00"/>
    <n v="2"/>
    <n v="708"/>
    <x v="1"/>
    <x v="2"/>
    <x v="2"/>
    <x v="1"/>
    <x v="7"/>
    <x v="2"/>
    <n v="6"/>
    <n v="1062"/>
    <n v="1416"/>
    <n v="354"/>
  </r>
  <r>
    <s v="Joseph Cross"/>
    <x v="3"/>
    <s v="T-Shirt"/>
    <d v="2024-05-13T00:00:00"/>
    <d v="2024-05-16T00:00:00"/>
    <n v="9"/>
    <n v="967"/>
    <x v="1"/>
    <x v="2"/>
    <x v="2"/>
    <x v="0"/>
    <x v="1"/>
    <x v="3"/>
    <n v="3"/>
    <n v="5657"/>
    <n v="8703"/>
    <n v="3046"/>
  </r>
  <r>
    <s v="Joseph Dean"/>
    <x v="1"/>
    <s v="Camera"/>
    <d v="2025-04-15T00:00:00"/>
    <d v="2025-04-20T00:00:00"/>
    <n v="2"/>
    <n v="280"/>
    <x v="0"/>
    <x v="2"/>
    <x v="1"/>
    <x v="1"/>
    <x v="5"/>
    <x v="4"/>
    <n v="5"/>
    <n v="448"/>
    <n v="560"/>
    <n v="112"/>
  </r>
  <r>
    <s v="Joseph Knight"/>
    <x v="0"/>
    <s v="Table Lamp"/>
    <d v="2025-08-12T00:00:00"/>
    <d v="2025-08-21T00:00:00"/>
    <n v="1"/>
    <n v="521"/>
    <x v="1"/>
    <x v="6"/>
    <x v="3"/>
    <x v="1"/>
    <x v="0"/>
    <x v="4"/>
    <n v="9"/>
    <n v="391"/>
    <n v="521"/>
    <n v="130"/>
  </r>
  <r>
    <s v="Joseph Lopez"/>
    <x v="1"/>
    <s v="Camera"/>
    <d v="2025-03-10T00:00:00"/>
    <d v="2025-03-21T00:00:00"/>
    <n v="2"/>
    <n v="944"/>
    <x v="1"/>
    <x v="0"/>
    <x v="1"/>
    <x v="1"/>
    <x v="10"/>
    <x v="3"/>
    <n v="11"/>
    <n v="1510"/>
    <n v="1888"/>
    <n v="378"/>
  </r>
  <r>
    <s v="Joseph Obrien"/>
    <x v="2"/>
    <s v="Children's Book"/>
    <d v="2024-07-04T00:00:00"/>
    <d v="2024-07-07T00:00:00"/>
    <n v="4"/>
    <n v="151"/>
    <x v="0"/>
    <x v="2"/>
    <x v="1"/>
    <x v="0"/>
    <x v="7"/>
    <x v="1"/>
    <n v="3"/>
    <n v="362"/>
    <n v="604"/>
    <n v="242"/>
  </r>
  <r>
    <s v="Joseph Obrien"/>
    <x v="2"/>
    <s v="Children's Book"/>
    <d v="2024-07-04T00:00:00"/>
    <d v="2024-07-07T00:00:00"/>
    <n v="4"/>
    <n v="151"/>
    <x v="0"/>
    <x v="2"/>
    <x v="2"/>
    <x v="0"/>
    <x v="7"/>
    <x v="1"/>
    <n v="3"/>
    <n v="362"/>
    <n v="604"/>
    <n v="242"/>
  </r>
  <r>
    <s v="Joseph Obrien"/>
    <x v="4"/>
    <s v="Cereal"/>
    <d v="2025-06-06T00:00:00"/>
    <d v="2025-06-09T00:00:00"/>
    <n v="5"/>
    <n v="615"/>
    <x v="1"/>
    <x v="1"/>
    <x v="2"/>
    <x v="1"/>
    <x v="2"/>
    <x v="6"/>
    <n v="3"/>
    <n v="1691"/>
    <n v="3075"/>
    <n v="1384"/>
  </r>
  <r>
    <s v="Joseph Obrien"/>
    <x v="1"/>
    <s v="Smartphone"/>
    <d v="2025-02-21T00:00:00"/>
    <d v="2025-03-02T00:00:00"/>
    <n v="1"/>
    <n v="474"/>
    <x v="1"/>
    <x v="2"/>
    <x v="0"/>
    <x v="1"/>
    <x v="11"/>
    <x v="6"/>
    <n v="9"/>
    <n v="356"/>
    <n v="474"/>
    <n v="118"/>
  </r>
  <r>
    <s v="Joseph Smith"/>
    <x v="2"/>
    <s v="Non-Fiction"/>
    <d v="2024-09-30T00:00:00"/>
    <d v="2024-10-06T00:00:00"/>
    <n v="1"/>
    <n v="945"/>
    <x v="0"/>
    <x v="4"/>
    <x v="3"/>
    <x v="0"/>
    <x v="9"/>
    <x v="3"/>
    <n v="6"/>
    <n v="473"/>
    <n v="945"/>
    <n v="472"/>
  </r>
  <r>
    <s v="Joseph Taylor"/>
    <x v="4"/>
    <s v="Milk"/>
    <d v="2025-10-12T00:00:00"/>
    <d v="2025-10-15T00:00:00"/>
    <n v="3"/>
    <n v="960"/>
    <x v="0"/>
    <x v="6"/>
    <x v="3"/>
    <x v="1"/>
    <x v="4"/>
    <x v="2"/>
    <n v="3"/>
    <n v="1440"/>
    <n v="2880"/>
    <n v="1440"/>
  </r>
  <r>
    <s v="Joshua Perry"/>
    <x v="1"/>
    <s v="Headphones"/>
    <d v="2024-05-21T00:00:00"/>
    <d v="2024-05-25T00:00:00"/>
    <n v="1"/>
    <n v="13"/>
    <x v="1"/>
    <x v="6"/>
    <x v="0"/>
    <x v="0"/>
    <x v="1"/>
    <x v="4"/>
    <n v="4"/>
    <n v="8"/>
    <n v="13"/>
    <n v="5"/>
  </r>
  <r>
    <s v="Joshua Perry"/>
    <x v="2"/>
    <s v="Children's Book"/>
    <d v="2025-07-06T00:00:00"/>
    <d v="2025-07-14T00:00:00"/>
    <n v="1"/>
    <n v="256"/>
    <x v="0"/>
    <x v="2"/>
    <x v="3"/>
    <x v="1"/>
    <x v="7"/>
    <x v="2"/>
    <n v="8"/>
    <n v="154"/>
    <n v="256"/>
    <n v="102"/>
  </r>
  <r>
    <s v="Joshua Turner"/>
    <x v="2"/>
    <s v="Non-Fiction"/>
    <d v="2024-01-04T00:00:00"/>
    <d v="2024-01-15T00:00:00"/>
    <n v="2"/>
    <n v="734"/>
    <x v="0"/>
    <x v="2"/>
    <x v="3"/>
    <x v="0"/>
    <x v="6"/>
    <x v="1"/>
    <n v="11"/>
    <n v="734"/>
    <n v="1468"/>
    <n v="734"/>
  </r>
  <r>
    <s v="Joshua Turner"/>
    <x v="3"/>
    <s v="Jacket"/>
    <d v="2025-04-06T00:00:00"/>
    <d v="2025-04-12T00:00:00"/>
    <n v="5"/>
    <n v="63"/>
    <x v="0"/>
    <x v="1"/>
    <x v="3"/>
    <x v="1"/>
    <x v="5"/>
    <x v="2"/>
    <n v="6"/>
    <n v="252"/>
    <n v="315"/>
    <n v="63"/>
  </r>
  <r>
    <s v="Joy Meyer"/>
    <x v="3"/>
    <s v="Sneakers"/>
    <d v="2024-10-08T00:00:00"/>
    <d v="2024-10-17T00:00:00"/>
    <n v="6"/>
    <n v="273"/>
    <x v="1"/>
    <x v="1"/>
    <x v="3"/>
    <x v="0"/>
    <x v="4"/>
    <x v="4"/>
    <n v="9"/>
    <n v="1229"/>
    <n v="1638"/>
    <n v="409"/>
  </r>
  <r>
    <s v="Juan Moore"/>
    <x v="4"/>
    <s v="Pasta"/>
    <d v="2024-03-31T00:00:00"/>
    <d v="2024-04-05T00:00:00"/>
    <n v="9"/>
    <n v="485"/>
    <x v="0"/>
    <x v="4"/>
    <x v="1"/>
    <x v="0"/>
    <x v="10"/>
    <x v="2"/>
    <n v="5"/>
    <n v="2619"/>
    <n v="4365"/>
    <n v="1746"/>
  </r>
  <r>
    <s v="Juan Moore"/>
    <x v="1"/>
    <s v="Smartphone"/>
    <d v="2025-12-12T00:00:00"/>
    <d v="2025-12-22T00:00:00"/>
    <n v="1"/>
    <n v="159"/>
    <x v="0"/>
    <x v="0"/>
    <x v="2"/>
    <x v="1"/>
    <x v="8"/>
    <x v="6"/>
    <n v="10"/>
    <n v="119"/>
    <n v="159"/>
    <n v="40"/>
  </r>
  <r>
    <s v="Judy Murray"/>
    <x v="1"/>
    <s v="Tablet"/>
    <d v="2024-12-06T00:00:00"/>
    <d v="2024-12-13T00:00:00"/>
    <n v="3"/>
    <n v="63"/>
    <x v="1"/>
    <x v="0"/>
    <x v="1"/>
    <x v="0"/>
    <x v="8"/>
    <x v="6"/>
    <n v="7"/>
    <n v="132"/>
    <n v="189"/>
    <n v="57"/>
  </r>
  <r>
    <s v="Julie Ball"/>
    <x v="4"/>
    <s v="Juice"/>
    <d v="2024-11-25T00:00:00"/>
    <d v="2024-11-28T00:00:00"/>
    <n v="10"/>
    <n v="340"/>
    <x v="0"/>
    <x v="1"/>
    <x v="0"/>
    <x v="0"/>
    <x v="3"/>
    <x v="3"/>
    <n v="3"/>
    <n v="1870"/>
    <n v="3400"/>
    <n v="1530"/>
  </r>
  <r>
    <s v="Justin Brown"/>
    <x v="2"/>
    <s v="Children's Book"/>
    <d v="2024-09-25T00:00:00"/>
    <d v="2024-10-07T00:00:00"/>
    <n v="2"/>
    <n v="415"/>
    <x v="1"/>
    <x v="1"/>
    <x v="0"/>
    <x v="0"/>
    <x v="9"/>
    <x v="0"/>
    <n v="12"/>
    <n v="498"/>
    <n v="830"/>
    <n v="332"/>
  </r>
  <r>
    <s v="Kaitlyn Guerra"/>
    <x v="3"/>
    <s v="Jacket"/>
    <d v="2025-02-12T00:00:00"/>
    <d v="2025-02-13T00:00:00"/>
    <n v="8"/>
    <n v="509"/>
    <x v="0"/>
    <x v="2"/>
    <x v="1"/>
    <x v="1"/>
    <x v="11"/>
    <x v="0"/>
    <n v="1"/>
    <n v="3258"/>
    <n v="4072"/>
    <n v="814"/>
  </r>
  <r>
    <s v="Kara Jackson"/>
    <x v="4"/>
    <s v="Milk"/>
    <d v="2024-07-12T00:00:00"/>
    <d v="2024-07-17T00:00:00"/>
    <n v="7"/>
    <n v="92"/>
    <x v="0"/>
    <x v="2"/>
    <x v="2"/>
    <x v="0"/>
    <x v="7"/>
    <x v="6"/>
    <n v="5"/>
    <n v="322"/>
    <n v="644"/>
    <n v="322"/>
  </r>
  <r>
    <s v="kareem abdul"/>
    <x v="0"/>
    <s v="Curtains"/>
    <d v="2024-04-11T00:00:00"/>
    <d v="2024-04-12T00:00:00"/>
    <n v="3"/>
    <n v="90"/>
    <x v="1"/>
    <x v="2"/>
    <x v="3"/>
    <x v="0"/>
    <x v="5"/>
    <x v="1"/>
    <n v="1"/>
    <n v="176"/>
    <n v="270"/>
    <n v="94"/>
  </r>
  <r>
    <s v="Karen Davis"/>
    <x v="0"/>
    <s v="Curtains"/>
    <d v="2025-05-21T00:00:00"/>
    <d v="2025-05-27T00:00:00"/>
    <n v="1"/>
    <n v="773"/>
    <x v="1"/>
    <x v="2"/>
    <x v="2"/>
    <x v="1"/>
    <x v="1"/>
    <x v="0"/>
    <n v="6"/>
    <n v="502"/>
    <n v="773"/>
    <n v="271"/>
  </r>
  <r>
    <s v="Karen Fisher"/>
    <x v="3"/>
    <s v="T-Shirt"/>
    <d v="2024-09-12T00:00:00"/>
    <d v="2024-09-20T00:00:00"/>
    <n v="7"/>
    <n v="670"/>
    <x v="1"/>
    <x v="1"/>
    <x v="3"/>
    <x v="0"/>
    <x v="9"/>
    <x v="1"/>
    <n v="8"/>
    <n v="3049"/>
    <n v="4690"/>
    <n v="1641"/>
  </r>
  <r>
    <s v="Kari Lee"/>
    <x v="2"/>
    <s v="Biography"/>
    <d v="2025-03-16T00:00:00"/>
    <d v="2025-03-27T00:00:00"/>
    <n v="9"/>
    <n v="309"/>
    <x v="1"/>
    <x v="6"/>
    <x v="3"/>
    <x v="1"/>
    <x v="10"/>
    <x v="2"/>
    <n v="11"/>
    <n v="1530"/>
    <n v="2781"/>
    <n v="1251"/>
  </r>
  <r>
    <s v="Karla Ramos"/>
    <x v="2"/>
    <s v="Children's Book"/>
    <d v="2024-05-22T00:00:00"/>
    <d v="2024-06-01T00:00:00"/>
    <n v="3"/>
    <n v="609"/>
    <x v="0"/>
    <x v="0"/>
    <x v="2"/>
    <x v="0"/>
    <x v="1"/>
    <x v="0"/>
    <n v="10"/>
    <n v="1096"/>
    <n v="1827"/>
    <n v="731"/>
  </r>
  <r>
    <s v="Katelyn Perez"/>
    <x v="1"/>
    <s v="Camera"/>
    <d v="2024-08-21T00:00:00"/>
    <d v="2024-09-02T00:00:00"/>
    <n v="1"/>
    <n v="749"/>
    <x v="1"/>
    <x v="4"/>
    <x v="2"/>
    <x v="0"/>
    <x v="0"/>
    <x v="0"/>
    <n v="12"/>
    <n v="599"/>
    <n v="749"/>
    <n v="150"/>
  </r>
  <r>
    <s v="Katherine Christensen MD"/>
    <x v="3"/>
    <s v="Jacket"/>
    <d v="2025-09-24T00:00:00"/>
    <d v="2025-09-25T00:00:00"/>
    <n v="6"/>
    <n v="252"/>
    <x v="0"/>
    <x v="4"/>
    <x v="2"/>
    <x v="1"/>
    <x v="9"/>
    <x v="0"/>
    <n v="1"/>
    <n v="1210"/>
    <n v="1512"/>
    <n v="302"/>
  </r>
  <r>
    <s v="Katherine Joyce"/>
    <x v="3"/>
    <s v="Sneakers"/>
    <d v="2024-03-09T00:00:00"/>
    <d v="2024-03-20T00:00:00"/>
    <n v="3"/>
    <n v="80"/>
    <x v="0"/>
    <x v="3"/>
    <x v="3"/>
    <x v="0"/>
    <x v="10"/>
    <x v="5"/>
    <n v="11"/>
    <n v="180"/>
    <n v="240"/>
    <n v="60"/>
  </r>
  <r>
    <s v="Kathryn Hughes"/>
    <x v="4"/>
    <s v="Cereal"/>
    <d v="2024-02-25T00:00:00"/>
    <d v="2024-03-02T00:00:00"/>
    <n v="4"/>
    <n v="492"/>
    <x v="1"/>
    <x v="4"/>
    <x v="2"/>
    <x v="0"/>
    <x v="11"/>
    <x v="2"/>
    <n v="6"/>
    <n v="1082"/>
    <n v="1968"/>
    <n v="886"/>
  </r>
  <r>
    <s v="Kathryn Price"/>
    <x v="1"/>
    <s v="Camera"/>
    <d v="2024-10-27T00:00:00"/>
    <d v="2024-11-03T00:00:00"/>
    <n v="4"/>
    <n v="258"/>
    <x v="0"/>
    <x v="4"/>
    <x v="1"/>
    <x v="0"/>
    <x v="4"/>
    <x v="2"/>
    <n v="7"/>
    <n v="826"/>
    <n v="1032"/>
    <n v="206"/>
  </r>
  <r>
    <s v="Kathryn Snyder"/>
    <x v="4"/>
    <s v="Pasta"/>
    <d v="2024-05-20T00:00:00"/>
    <d v="2024-05-31T00:00:00"/>
    <n v="8"/>
    <n v="89"/>
    <x v="0"/>
    <x v="2"/>
    <x v="1"/>
    <x v="0"/>
    <x v="1"/>
    <x v="3"/>
    <n v="11"/>
    <n v="427"/>
    <n v="712"/>
    <n v="285"/>
  </r>
  <r>
    <s v="Kathryn Snyder"/>
    <x v="4"/>
    <s v="Milk"/>
    <d v="2025-02-23T00:00:00"/>
    <d v="2025-02-26T00:00:00"/>
    <n v="9"/>
    <n v="10"/>
    <x v="0"/>
    <x v="4"/>
    <x v="3"/>
    <x v="1"/>
    <x v="11"/>
    <x v="2"/>
    <n v="3"/>
    <n v="45"/>
    <n v="90"/>
    <n v="45"/>
  </r>
  <r>
    <s v="Kathy Walsh"/>
    <x v="4"/>
    <s v="Cereal"/>
    <d v="2024-12-01T00:00:00"/>
    <d v="2024-12-04T00:00:00"/>
    <n v="10"/>
    <n v="601"/>
    <x v="1"/>
    <x v="4"/>
    <x v="2"/>
    <x v="0"/>
    <x v="8"/>
    <x v="2"/>
    <n v="3"/>
    <n v="3306"/>
    <n v="6010"/>
    <n v="2704"/>
  </r>
  <r>
    <s v="Katie Hicks"/>
    <x v="0"/>
    <s v="Cushion"/>
    <d v="2024-03-19T00:00:00"/>
    <d v="2024-03-23T00:00:00"/>
    <n v="8"/>
    <n v="78"/>
    <x v="0"/>
    <x v="4"/>
    <x v="1"/>
    <x v="0"/>
    <x v="10"/>
    <x v="4"/>
    <n v="4"/>
    <n v="406"/>
    <n v="624"/>
    <n v="218"/>
  </r>
  <r>
    <s v="Kelly Bishop MD"/>
    <x v="1"/>
    <s v="Laptop"/>
    <d v="2025-10-17T00:00:00"/>
    <d v="2025-10-22T00:00:00"/>
    <n v="5"/>
    <n v="803"/>
    <x v="0"/>
    <x v="2"/>
    <x v="1"/>
    <x v="1"/>
    <x v="4"/>
    <x v="6"/>
    <n v="5"/>
    <n v="3413"/>
    <n v="4015"/>
    <n v="602"/>
  </r>
  <r>
    <s v="Kelly Combs"/>
    <x v="2"/>
    <s v="Cookbook"/>
    <d v="2024-01-20T00:00:00"/>
    <d v="2024-01-25T00:00:00"/>
    <n v="6"/>
    <n v="907"/>
    <x v="0"/>
    <x v="1"/>
    <x v="2"/>
    <x v="0"/>
    <x v="6"/>
    <x v="5"/>
    <n v="5"/>
    <n v="3537"/>
    <n v="5442"/>
    <n v="1905"/>
  </r>
  <r>
    <s v="Kelly Foster"/>
    <x v="0"/>
    <s v="Vase"/>
    <d v="2024-03-08T00:00:00"/>
    <d v="2024-03-22T00:00:00"/>
    <n v="5"/>
    <n v="458"/>
    <x v="0"/>
    <x v="2"/>
    <x v="2"/>
    <x v="0"/>
    <x v="10"/>
    <x v="6"/>
    <n v="14"/>
    <n v="1718"/>
    <n v="2290"/>
    <n v="572"/>
  </r>
  <r>
    <s v="Kelly Sanchez"/>
    <x v="2"/>
    <s v="Fiction"/>
    <d v="2025-01-22T00:00:00"/>
    <d v="2025-01-29T00:00:00"/>
    <n v="6"/>
    <n v="563"/>
    <x v="0"/>
    <x v="4"/>
    <x v="3"/>
    <x v="1"/>
    <x v="6"/>
    <x v="0"/>
    <n v="7"/>
    <n v="1689"/>
    <n v="3378"/>
    <n v="1689"/>
  </r>
  <r>
    <s v="Kenneth Long"/>
    <x v="1"/>
    <s v="Headphones"/>
    <d v="2025-01-23T00:00:00"/>
    <d v="2025-02-01T00:00:00"/>
    <n v="9"/>
    <n v="498"/>
    <x v="0"/>
    <x v="4"/>
    <x v="3"/>
    <x v="1"/>
    <x v="6"/>
    <x v="1"/>
    <n v="9"/>
    <n v="2913"/>
    <n v="4482"/>
    <n v="1569"/>
  </r>
  <r>
    <s v="Kenneth Underwood"/>
    <x v="4"/>
    <s v="Cereal"/>
    <d v="2024-10-13T00:00:00"/>
    <d v="2024-10-21T00:00:00"/>
    <n v="5"/>
    <n v="304"/>
    <x v="1"/>
    <x v="4"/>
    <x v="3"/>
    <x v="0"/>
    <x v="4"/>
    <x v="2"/>
    <n v="8"/>
    <n v="836"/>
    <n v="1520"/>
    <n v="684"/>
  </r>
  <r>
    <s v="Kerry Lee"/>
    <x v="1"/>
    <s v="Camera"/>
    <d v="2024-05-02T00:00:00"/>
    <d v="2024-05-13T00:00:00"/>
    <n v="3"/>
    <n v="328"/>
    <x v="1"/>
    <x v="2"/>
    <x v="2"/>
    <x v="0"/>
    <x v="1"/>
    <x v="1"/>
    <n v="11"/>
    <n v="787"/>
    <n v="984"/>
    <n v="197"/>
  </r>
  <r>
    <s v="Kevin Hall"/>
    <x v="3"/>
    <s v="T-Shirt"/>
    <d v="2024-02-21T00:00:00"/>
    <d v="2024-03-06T00:00:00"/>
    <n v="7"/>
    <n v="348"/>
    <x v="0"/>
    <x v="2"/>
    <x v="1"/>
    <x v="0"/>
    <x v="11"/>
    <x v="0"/>
    <n v="14"/>
    <n v="1583"/>
    <n v="2436"/>
    <n v="853"/>
  </r>
  <r>
    <s v="Kevin Hines"/>
    <x v="0"/>
    <s v="Table Lamp"/>
    <d v="2025-11-11T00:00:00"/>
    <d v="2025-11-16T00:00:00"/>
    <n v="6"/>
    <n v="461"/>
    <x v="0"/>
    <x v="0"/>
    <x v="2"/>
    <x v="1"/>
    <x v="3"/>
    <x v="4"/>
    <n v="5"/>
    <n v="2075"/>
    <n v="2766"/>
    <n v="691"/>
  </r>
  <r>
    <s v="Kevin James"/>
    <x v="3"/>
    <s v="T-Shirt"/>
    <d v="2024-05-26T00:00:00"/>
    <d v="2024-06-09T00:00:00"/>
    <n v="8"/>
    <n v="722"/>
    <x v="1"/>
    <x v="1"/>
    <x v="0"/>
    <x v="0"/>
    <x v="1"/>
    <x v="2"/>
    <n v="14"/>
    <n v="3754"/>
    <n v="5776"/>
    <n v="2022"/>
  </r>
  <r>
    <s v="Kevin Patterson"/>
    <x v="4"/>
    <s v="Milk"/>
    <d v="2024-07-23T00:00:00"/>
    <d v="2024-07-29T00:00:00"/>
    <n v="4"/>
    <n v="161"/>
    <x v="0"/>
    <x v="2"/>
    <x v="3"/>
    <x v="0"/>
    <x v="7"/>
    <x v="4"/>
    <n v="6"/>
    <n v="322"/>
    <n v="644"/>
    <n v="322"/>
  </r>
  <r>
    <s v="Kevin Patterson"/>
    <x v="2"/>
    <s v="Biography"/>
    <d v="2025-09-04T00:00:00"/>
    <d v="2025-09-10T00:00:00"/>
    <n v="7"/>
    <n v="238"/>
    <x v="0"/>
    <x v="0"/>
    <x v="2"/>
    <x v="1"/>
    <x v="9"/>
    <x v="1"/>
    <n v="6"/>
    <n v="916"/>
    <n v="1666"/>
    <n v="750"/>
  </r>
  <r>
    <s v="Kevin Thompson"/>
    <x v="3"/>
    <s v="Sneakers"/>
    <d v="2025-01-27T00:00:00"/>
    <d v="2025-01-29T00:00:00"/>
    <n v="8"/>
    <n v="684"/>
    <x v="0"/>
    <x v="1"/>
    <x v="0"/>
    <x v="1"/>
    <x v="6"/>
    <x v="3"/>
    <n v="2"/>
    <n v="4104"/>
    <n v="5472"/>
    <n v="1368"/>
  </r>
  <r>
    <s v="Kimberly Davenport"/>
    <x v="4"/>
    <s v="Milk"/>
    <d v="2024-08-27T00:00:00"/>
    <d v="2024-08-30T00:00:00"/>
    <n v="1"/>
    <n v="200"/>
    <x v="0"/>
    <x v="2"/>
    <x v="3"/>
    <x v="0"/>
    <x v="0"/>
    <x v="4"/>
    <n v="3"/>
    <n v="100"/>
    <n v="200"/>
    <n v="100"/>
  </r>
  <r>
    <s v="Kimberly Davenport"/>
    <x v="1"/>
    <s v="Smartphone"/>
    <d v="2025-10-01T00:00:00"/>
    <d v="2025-10-03T00:00:00"/>
    <n v="7"/>
    <n v="149"/>
    <x v="1"/>
    <x v="4"/>
    <x v="0"/>
    <x v="1"/>
    <x v="4"/>
    <x v="0"/>
    <n v="2"/>
    <n v="782"/>
    <n v="1043"/>
    <n v="261"/>
  </r>
  <r>
    <s v="Kimberly Gibson"/>
    <x v="1"/>
    <s v="Headphones"/>
    <d v="2024-01-10T00:00:00"/>
    <d v="2024-01-14T00:00:00"/>
    <n v="9"/>
    <n v="63"/>
    <x v="1"/>
    <x v="6"/>
    <x v="2"/>
    <x v="0"/>
    <x v="6"/>
    <x v="0"/>
    <n v="4"/>
    <n v="369"/>
    <n v="567"/>
    <n v="198"/>
  </r>
  <r>
    <s v="Kimberly Gibson"/>
    <x v="0"/>
    <s v="Curtains"/>
    <d v="2025-07-19T00:00:00"/>
    <d v="2025-07-25T00:00:00"/>
    <n v="4"/>
    <n v="82"/>
    <x v="1"/>
    <x v="0"/>
    <x v="2"/>
    <x v="1"/>
    <x v="7"/>
    <x v="5"/>
    <n v="6"/>
    <n v="213"/>
    <n v="328"/>
    <n v="115"/>
  </r>
  <r>
    <s v="Kimberly Gibson"/>
    <x v="3"/>
    <s v="Sneakers"/>
    <d v="2025-05-10T00:00:00"/>
    <d v="2025-05-17T00:00:00"/>
    <n v="8"/>
    <n v="281"/>
    <x v="0"/>
    <x v="2"/>
    <x v="0"/>
    <x v="1"/>
    <x v="1"/>
    <x v="5"/>
    <n v="7"/>
    <n v="1686"/>
    <n v="2248"/>
    <n v="562"/>
  </r>
  <r>
    <s v="Kimberly Morrison"/>
    <x v="2"/>
    <s v="Fiction"/>
    <d v="2025-09-25T00:00:00"/>
    <d v="2025-09-30T00:00:00"/>
    <n v="8"/>
    <n v="203"/>
    <x v="0"/>
    <x v="6"/>
    <x v="1"/>
    <x v="1"/>
    <x v="9"/>
    <x v="1"/>
    <n v="5"/>
    <n v="812"/>
    <n v="1624"/>
    <n v="812"/>
  </r>
  <r>
    <s v="Kimberly Scott"/>
    <x v="4"/>
    <s v="Pasta"/>
    <d v="2024-11-11T00:00:00"/>
    <d v="2024-11-24T00:00:00"/>
    <n v="3"/>
    <n v="813"/>
    <x v="0"/>
    <x v="5"/>
    <x v="2"/>
    <x v="0"/>
    <x v="3"/>
    <x v="3"/>
    <n v="13"/>
    <n v="1463"/>
    <n v="2439"/>
    <n v="976"/>
  </r>
  <r>
    <s v="Kimberly Taylor"/>
    <x v="0"/>
    <s v="Wall Art"/>
    <d v="2024-10-27T00:00:00"/>
    <d v="2024-11-10T00:00:00"/>
    <n v="2"/>
    <n v="327"/>
    <x v="1"/>
    <x v="3"/>
    <x v="0"/>
    <x v="0"/>
    <x v="4"/>
    <x v="2"/>
    <n v="14"/>
    <n v="458"/>
    <n v="654"/>
    <n v="196"/>
  </r>
  <r>
    <s v="Krista Shea"/>
    <x v="0"/>
    <s v="Wall Art"/>
    <d v="2025-02-25T00:00:00"/>
    <d v="2025-03-01T00:00:00"/>
    <n v="3"/>
    <n v="380"/>
    <x v="0"/>
    <x v="1"/>
    <x v="3"/>
    <x v="1"/>
    <x v="11"/>
    <x v="4"/>
    <n v="4"/>
    <n v="798"/>
    <n v="1140"/>
    <n v="342"/>
  </r>
  <r>
    <s v="Kristen Reyes"/>
    <x v="3"/>
    <s v="Jacket"/>
    <d v="2025-10-15T00:00:00"/>
    <d v="2025-10-19T00:00:00"/>
    <n v="9"/>
    <n v="754"/>
    <x v="0"/>
    <x v="0"/>
    <x v="0"/>
    <x v="1"/>
    <x v="4"/>
    <x v="0"/>
    <n v="4"/>
    <n v="5429"/>
    <n v="6786"/>
    <n v="1357"/>
  </r>
  <r>
    <s v="Kristen Rowe"/>
    <x v="4"/>
    <s v="Juice"/>
    <d v="2025-07-04T00:00:00"/>
    <d v="2025-07-11T00:00:00"/>
    <n v="2"/>
    <n v="969"/>
    <x v="0"/>
    <x v="2"/>
    <x v="3"/>
    <x v="1"/>
    <x v="7"/>
    <x v="6"/>
    <n v="7"/>
    <n v="1066"/>
    <n v="1938"/>
    <n v="872"/>
  </r>
  <r>
    <s v="Kristen Terry"/>
    <x v="1"/>
    <s v="Tablet"/>
    <d v="2024-09-20T00:00:00"/>
    <d v="2024-09-27T00:00:00"/>
    <n v="10"/>
    <n v="353"/>
    <x v="1"/>
    <x v="4"/>
    <x v="3"/>
    <x v="0"/>
    <x v="9"/>
    <x v="6"/>
    <n v="7"/>
    <n v="2471"/>
    <n v="3530"/>
    <n v="1059"/>
  </r>
  <r>
    <s v="Kristen Terry"/>
    <x v="4"/>
    <s v="Cereal"/>
    <d v="2025-11-05T00:00:00"/>
    <d v="2025-11-07T00:00:00"/>
    <n v="9"/>
    <n v="828"/>
    <x v="0"/>
    <x v="1"/>
    <x v="1"/>
    <x v="1"/>
    <x v="3"/>
    <x v="0"/>
    <n v="2"/>
    <n v="4099"/>
    <n v="7452"/>
    <n v="3353"/>
  </r>
  <r>
    <s v="Kristen Willis"/>
    <x v="4"/>
    <s v="Cereal"/>
    <d v="2024-04-04T00:00:00"/>
    <d v="2024-04-15T00:00:00"/>
    <n v="1"/>
    <n v="268"/>
    <x v="0"/>
    <x v="1"/>
    <x v="2"/>
    <x v="0"/>
    <x v="5"/>
    <x v="1"/>
    <n v="11"/>
    <n v="147"/>
    <n v="268"/>
    <n v="121"/>
  </r>
  <r>
    <s v="Kristin Mendoza"/>
    <x v="0"/>
    <s v="Cushion"/>
    <d v="2024-07-17T00:00:00"/>
    <d v="2024-07-31T00:00:00"/>
    <n v="7"/>
    <n v="803"/>
    <x v="0"/>
    <x v="6"/>
    <x v="2"/>
    <x v="0"/>
    <x v="7"/>
    <x v="0"/>
    <n v="14"/>
    <n v="3654"/>
    <n v="5621"/>
    <n v="1967"/>
  </r>
  <r>
    <s v="Kristy Hart"/>
    <x v="3"/>
    <s v="Jacket"/>
    <d v="2024-06-13T00:00:00"/>
    <d v="2024-06-17T00:00:00"/>
    <n v="5"/>
    <n v="671"/>
    <x v="1"/>
    <x v="4"/>
    <x v="2"/>
    <x v="0"/>
    <x v="2"/>
    <x v="1"/>
    <n v="4"/>
    <n v="2684"/>
    <n v="3355"/>
    <n v="671"/>
  </r>
  <r>
    <s v="Kyle Cameron"/>
    <x v="4"/>
    <s v="Milk"/>
    <d v="2024-08-06T00:00:00"/>
    <d v="2024-08-17T00:00:00"/>
    <n v="2"/>
    <n v="512"/>
    <x v="0"/>
    <x v="2"/>
    <x v="2"/>
    <x v="0"/>
    <x v="0"/>
    <x v="4"/>
    <n v="11"/>
    <n v="512"/>
    <n v="1024"/>
    <n v="512"/>
  </r>
  <r>
    <s v="Lance Hoffman"/>
    <x v="2"/>
    <s v="Fiction"/>
    <d v="2024-10-29T00:00:00"/>
    <d v="2024-11-04T00:00:00"/>
    <n v="7"/>
    <n v="42"/>
    <x v="0"/>
    <x v="4"/>
    <x v="1"/>
    <x v="0"/>
    <x v="4"/>
    <x v="4"/>
    <n v="6"/>
    <n v="147"/>
    <n v="294"/>
    <n v="147"/>
  </r>
  <r>
    <s v="Larry Garcia"/>
    <x v="1"/>
    <s v="Headphones"/>
    <d v="2025-09-11T00:00:00"/>
    <d v="2025-09-17T00:00:00"/>
    <n v="6"/>
    <n v="992"/>
    <x v="1"/>
    <x v="1"/>
    <x v="2"/>
    <x v="1"/>
    <x v="9"/>
    <x v="1"/>
    <n v="6"/>
    <n v="3869"/>
    <n v="5952"/>
    <n v="2083"/>
  </r>
  <r>
    <s v="Laura Benson"/>
    <x v="2"/>
    <s v="Biography"/>
    <d v="2025-02-01T00:00:00"/>
    <d v="2025-02-05T00:00:00"/>
    <n v="4"/>
    <n v="439"/>
    <x v="0"/>
    <x v="0"/>
    <x v="0"/>
    <x v="1"/>
    <x v="11"/>
    <x v="5"/>
    <n v="4"/>
    <n v="966"/>
    <n v="1756"/>
    <n v="790"/>
  </r>
  <r>
    <s v="Laura Moreno"/>
    <x v="2"/>
    <s v="Fiction"/>
    <d v="2024-08-20T00:00:00"/>
    <d v="2024-08-30T00:00:00"/>
    <n v="6"/>
    <n v="698"/>
    <x v="1"/>
    <x v="2"/>
    <x v="0"/>
    <x v="0"/>
    <x v="0"/>
    <x v="4"/>
    <n v="10"/>
    <n v="2094"/>
    <n v="4188"/>
    <n v="2094"/>
  </r>
  <r>
    <s v="Lauren Daniels"/>
    <x v="1"/>
    <s v="Laptop"/>
    <d v="2024-10-17T00:00:00"/>
    <d v="2024-10-23T00:00:00"/>
    <n v="2"/>
    <n v="97"/>
    <x v="0"/>
    <x v="2"/>
    <x v="3"/>
    <x v="0"/>
    <x v="4"/>
    <x v="1"/>
    <n v="6"/>
    <n v="165"/>
    <n v="194"/>
    <n v="29"/>
  </r>
  <r>
    <s v="Lauren Daniels"/>
    <x v="0"/>
    <s v="Wall Art"/>
    <d v="2025-09-16T00:00:00"/>
    <d v="2025-09-19T00:00:00"/>
    <n v="10"/>
    <n v="741"/>
    <x v="1"/>
    <x v="6"/>
    <x v="3"/>
    <x v="1"/>
    <x v="9"/>
    <x v="4"/>
    <n v="3"/>
    <n v="5187"/>
    <n v="7410"/>
    <n v="2223"/>
  </r>
  <r>
    <s v="Leah Spencer"/>
    <x v="1"/>
    <s v="Laptop"/>
    <d v="2025-01-06T00:00:00"/>
    <d v="2025-01-12T00:00:00"/>
    <n v="8"/>
    <n v="527"/>
    <x v="1"/>
    <x v="4"/>
    <x v="3"/>
    <x v="1"/>
    <x v="6"/>
    <x v="3"/>
    <n v="6"/>
    <n v="3584"/>
    <n v="4216"/>
    <n v="632"/>
  </r>
  <r>
    <s v="Lee Parker"/>
    <x v="0"/>
    <s v="Wall Art"/>
    <d v="2025-02-19T00:00:00"/>
    <d v="2025-03-01T00:00:00"/>
    <n v="4"/>
    <n v="371"/>
    <x v="1"/>
    <x v="1"/>
    <x v="3"/>
    <x v="1"/>
    <x v="11"/>
    <x v="0"/>
    <n v="10"/>
    <n v="1039"/>
    <n v="1484"/>
    <n v="445"/>
  </r>
  <r>
    <s v="Levi Lopez"/>
    <x v="1"/>
    <s v="Laptop"/>
    <d v="2025-12-17T00:00:00"/>
    <d v="2025-12-22T00:00:00"/>
    <n v="1"/>
    <n v="979"/>
    <x v="1"/>
    <x v="4"/>
    <x v="0"/>
    <x v="1"/>
    <x v="8"/>
    <x v="0"/>
    <n v="5"/>
    <n v="832"/>
    <n v="979"/>
    <n v="147"/>
  </r>
  <r>
    <s v="Linda Elliott"/>
    <x v="4"/>
    <s v="Cereal"/>
    <d v="2025-09-09T00:00:00"/>
    <d v="2025-09-11T00:00:00"/>
    <n v="2"/>
    <n v="31"/>
    <x v="1"/>
    <x v="6"/>
    <x v="2"/>
    <x v="1"/>
    <x v="9"/>
    <x v="4"/>
    <n v="2"/>
    <n v="34"/>
    <n v="62"/>
    <n v="28"/>
  </r>
  <r>
    <s v="Lisa Craig"/>
    <x v="4"/>
    <s v="Cereal"/>
    <d v="2024-02-02T00:00:00"/>
    <d v="2024-02-11T00:00:00"/>
    <n v="9"/>
    <n v="417"/>
    <x v="0"/>
    <x v="5"/>
    <x v="3"/>
    <x v="0"/>
    <x v="11"/>
    <x v="6"/>
    <n v="9"/>
    <n v="2064"/>
    <n v="3753"/>
    <n v="1689"/>
  </r>
  <r>
    <s v="Lisa Martinez"/>
    <x v="3"/>
    <s v="Jacket"/>
    <d v="2025-12-01T00:00:00"/>
    <d v="2025-12-11T00:00:00"/>
    <n v="10"/>
    <n v="752"/>
    <x v="0"/>
    <x v="4"/>
    <x v="2"/>
    <x v="1"/>
    <x v="8"/>
    <x v="3"/>
    <n v="10"/>
    <n v="6016"/>
    <n v="7520"/>
    <n v="1504"/>
  </r>
  <r>
    <s v="Lisa Mills"/>
    <x v="4"/>
    <s v="Milk"/>
    <d v="2025-11-27T00:00:00"/>
    <d v="2025-12-04T00:00:00"/>
    <n v="1"/>
    <n v="821"/>
    <x v="0"/>
    <x v="1"/>
    <x v="2"/>
    <x v="1"/>
    <x v="3"/>
    <x v="1"/>
    <n v="7"/>
    <n v="411"/>
    <n v="821"/>
    <n v="410"/>
  </r>
  <r>
    <s v="Lisa Oliver"/>
    <x v="4"/>
    <s v="Pasta"/>
    <d v="2024-11-20T00:00:00"/>
    <d v="2024-12-12T00:00:00"/>
    <n v="5"/>
    <n v="257"/>
    <x v="1"/>
    <x v="6"/>
    <x v="3"/>
    <x v="0"/>
    <x v="3"/>
    <x v="0"/>
    <n v="22"/>
    <n v="771"/>
    <n v="1285"/>
    <n v="514"/>
  </r>
  <r>
    <s v="Lisa Ramos"/>
    <x v="1"/>
    <s v="Laptop"/>
    <d v="2025-09-09T00:00:00"/>
    <d v="2025-09-11T00:00:00"/>
    <n v="4"/>
    <n v="249"/>
    <x v="1"/>
    <x v="4"/>
    <x v="2"/>
    <x v="1"/>
    <x v="9"/>
    <x v="4"/>
    <n v="2"/>
    <n v="847"/>
    <n v="996"/>
    <n v="149"/>
  </r>
  <r>
    <s v="Lisa Webb"/>
    <x v="2"/>
    <s v="Fiction"/>
    <d v="2024-05-13T00:00:00"/>
    <d v="2024-05-20T00:00:00"/>
    <n v="6"/>
    <n v="719"/>
    <x v="1"/>
    <x v="4"/>
    <x v="3"/>
    <x v="0"/>
    <x v="1"/>
    <x v="3"/>
    <n v="7"/>
    <n v="2157"/>
    <n v="4314"/>
    <n v="2157"/>
  </r>
  <r>
    <s v="long neck"/>
    <x v="1"/>
    <s v="Camera"/>
    <d v="2024-03-01T00:00:00"/>
    <d v="2024-03-05T00:00:00"/>
    <n v="1"/>
    <n v="200"/>
    <x v="0"/>
    <x v="4"/>
    <x v="1"/>
    <x v="0"/>
    <x v="10"/>
    <x v="6"/>
    <n v="4"/>
    <n v="160"/>
    <n v="200"/>
    <n v="40"/>
  </r>
  <r>
    <s v="Lonnie Hart"/>
    <x v="1"/>
    <s v="Laptop"/>
    <d v="2024-05-26T00:00:00"/>
    <d v="2024-06-02T00:00:00"/>
    <n v="6"/>
    <n v="892"/>
    <x v="1"/>
    <x v="1"/>
    <x v="1"/>
    <x v="0"/>
    <x v="1"/>
    <x v="2"/>
    <n v="7"/>
    <n v="4549"/>
    <n v="5352"/>
    <n v="803"/>
  </r>
  <r>
    <s v="Lynn Andrews"/>
    <x v="4"/>
    <s v="Milk"/>
    <d v="2025-08-23T00:00:00"/>
    <d v="2025-09-03T00:00:00"/>
    <n v="4"/>
    <n v="444"/>
    <x v="1"/>
    <x v="2"/>
    <x v="2"/>
    <x v="1"/>
    <x v="0"/>
    <x v="5"/>
    <n v="11"/>
    <n v="888"/>
    <n v="1776"/>
    <n v="888"/>
  </r>
  <r>
    <s v="Madison Martinez"/>
    <x v="1"/>
    <s v="Laptop"/>
    <d v="2024-01-23T00:00:00"/>
    <d v="2024-02-05T00:00:00"/>
    <n v="7"/>
    <n v="459"/>
    <x v="0"/>
    <x v="4"/>
    <x v="1"/>
    <x v="0"/>
    <x v="6"/>
    <x v="4"/>
    <n v="13"/>
    <n v="2731"/>
    <n v="3213"/>
    <n v="482"/>
  </r>
  <r>
    <s v="Maria Brown"/>
    <x v="0"/>
    <s v="Wall Art"/>
    <d v="2024-03-21T00:00:00"/>
    <d v="2024-03-29T00:00:00"/>
    <n v="8"/>
    <n v="13"/>
    <x v="1"/>
    <x v="2"/>
    <x v="3"/>
    <x v="0"/>
    <x v="10"/>
    <x v="1"/>
    <n v="8"/>
    <n v="73"/>
    <n v="104"/>
    <n v="31"/>
  </r>
  <r>
    <s v="Maria Brown"/>
    <x v="1"/>
    <s v="Smartphone"/>
    <d v="2025-04-12T00:00:00"/>
    <d v="2025-04-18T00:00:00"/>
    <n v="5"/>
    <n v="874"/>
    <x v="0"/>
    <x v="2"/>
    <x v="3"/>
    <x v="1"/>
    <x v="5"/>
    <x v="5"/>
    <n v="6"/>
    <n v="3278"/>
    <n v="4370"/>
    <n v="1092"/>
  </r>
  <r>
    <s v="Maria Cooke"/>
    <x v="0"/>
    <s v="Wall Art"/>
    <d v="2025-04-06T00:00:00"/>
    <d v="2025-04-13T00:00:00"/>
    <n v="1"/>
    <n v="386"/>
    <x v="0"/>
    <x v="4"/>
    <x v="1"/>
    <x v="1"/>
    <x v="5"/>
    <x v="2"/>
    <n v="7"/>
    <n v="270"/>
    <n v="386"/>
    <n v="116"/>
  </r>
  <r>
    <s v="Mark Burton"/>
    <x v="4"/>
    <s v="Juice"/>
    <d v="2024-07-29T00:00:00"/>
    <d v="2024-08-08T00:00:00"/>
    <n v="7"/>
    <n v="853"/>
    <x v="0"/>
    <x v="2"/>
    <x v="2"/>
    <x v="0"/>
    <x v="7"/>
    <x v="3"/>
    <n v="10"/>
    <n v="3284"/>
    <n v="5971"/>
    <n v="2687"/>
  </r>
  <r>
    <s v="Mark Williamson"/>
    <x v="0"/>
    <s v="Wall Art"/>
    <d v="2025-04-02T00:00:00"/>
    <d v="2025-04-12T00:00:00"/>
    <n v="7"/>
    <n v="356"/>
    <x v="0"/>
    <x v="1"/>
    <x v="1"/>
    <x v="1"/>
    <x v="5"/>
    <x v="0"/>
    <n v="10"/>
    <n v="1744"/>
    <n v="2492"/>
    <n v="748"/>
  </r>
  <r>
    <s v="Martha Smith"/>
    <x v="1"/>
    <s v="Smartphone"/>
    <d v="2024-07-30T00:00:00"/>
    <d v="2024-08-10T00:00:00"/>
    <n v="3"/>
    <n v="872"/>
    <x v="0"/>
    <x v="2"/>
    <x v="0"/>
    <x v="0"/>
    <x v="7"/>
    <x v="4"/>
    <n v="11"/>
    <n v="1962"/>
    <n v="2616"/>
    <n v="654"/>
  </r>
  <r>
    <s v="Martin Vargas"/>
    <x v="3"/>
    <s v="Dress"/>
    <d v="2024-01-11T00:00:00"/>
    <d v="2024-01-17T00:00:00"/>
    <n v="1"/>
    <n v="815"/>
    <x v="0"/>
    <x v="6"/>
    <x v="2"/>
    <x v="0"/>
    <x v="6"/>
    <x v="1"/>
    <n v="6"/>
    <n v="571"/>
    <n v="815"/>
    <n v="244"/>
  </r>
  <r>
    <s v="Mary Burgess"/>
    <x v="3"/>
    <s v="Jeans"/>
    <d v="2025-02-13T00:00:00"/>
    <d v="2025-02-27T00:00:00"/>
    <n v="3"/>
    <n v="262"/>
    <x v="1"/>
    <x v="0"/>
    <x v="1"/>
    <x v="1"/>
    <x v="11"/>
    <x v="1"/>
    <n v="14"/>
    <n v="550"/>
    <n v="786"/>
    <n v="236"/>
  </r>
  <r>
    <s v="Mary Miller"/>
    <x v="0"/>
    <s v="Curtains"/>
    <d v="2024-12-15T00:00:00"/>
    <d v="2024-12-26T00:00:00"/>
    <n v="4"/>
    <n v="692"/>
    <x v="1"/>
    <x v="4"/>
    <x v="1"/>
    <x v="0"/>
    <x v="8"/>
    <x v="2"/>
    <n v="11"/>
    <n v="1799"/>
    <n v="2768"/>
    <n v="969"/>
  </r>
  <r>
    <s v="Mary Miller"/>
    <x v="3"/>
    <s v="Sneakers"/>
    <d v="2025-04-09T00:00:00"/>
    <d v="2025-04-17T00:00:00"/>
    <n v="1"/>
    <n v="420"/>
    <x v="0"/>
    <x v="0"/>
    <x v="0"/>
    <x v="1"/>
    <x v="5"/>
    <x v="0"/>
    <n v="8"/>
    <n v="315"/>
    <n v="420"/>
    <n v="105"/>
  </r>
  <r>
    <s v="Mary Shepard"/>
    <x v="2"/>
    <s v="Biography"/>
    <d v="2024-11-17T00:00:00"/>
    <d v="2024-11-20T00:00:00"/>
    <n v="9"/>
    <n v="795"/>
    <x v="1"/>
    <x v="0"/>
    <x v="3"/>
    <x v="0"/>
    <x v="3"/>
    <x v="2"/>
    <n v="3"/>
    <n v="3935"/>
    <n v="7155"/>
    <n v="3220"/>
  </r>
  <r>
    <s v="Matthew Bates"/>
    <x v="3"/>
    <s v="T-Shirt"/>
    <d v="2024-04-21T00:00:00"/>
    <d v="2024-04-28T00:00:00"/>
    <n v="9"/>
    <n v="476"/>
    <x v="1"/>
    <x v="6"/>
    <x v="3"/>
    <x v="0"/>
    <x v="5"/>
    <x v="2"/>
    <n v="7"/>
    <n v="2785"/>
    <n v="4284"/>
    <n v="1499"/>
  </r>
  <r>
    <s v="Matthew Bowers"/>
    <x v="3"/>
    <s v="Sneakers"/>
    <d v="2024-03-03T00:00:00"/>
    <d v="2024-03-15T00:00:00"/>
    <n v="5"/>
    <n v="470"/>
    <x v="0"/>
    <x v="4"/>
    <x v="3"/>
    <x v="0"/>
    <x v="10"/>
    <x v="2"/>
    <n v="12"/>
    <n v="1763"/>
    <n v="2350"/>
    <n v="587"/>
  </r>
  <r>
    <s v="Matthew Foster"/>
    <x v="3"/>
    <s v="Sneakers"/>
    <d v="2025-01-08T00:00:00"/>
    <d v="2025-01-21T00:00:00"/>
    <n v="1"/>
    <n v="713"/>
    <x v="1"/>
    <x v="0"/>
    <x v="1"/>
    <x v="1"/>
    <x v="6"/>
    <x v="0"/>
    <n v="13"/>
    <n v="535"/>
    <n v="713"/>
    <n v="178"/>
  </r>
  <r>
    <s v="Matthew Gomez"/>
    <x v="1"/>
    <s v="Smartphone"/>
    <d v="2024-12-15T00:00:00"/>
    <d v="2024-12-24T00:00:00"/>
    <n v="9"/>
    <n v="778"/>
    <x v="0"/>
    <x v="6"/>
    <x v="0"/>
    <x v="0"/>
    <x v="8"/>
    <x v="2"/>
    <n v="9"/>
    <n v="5252"/>
    <n v="7002"/>
    <n v="1750"/>
  </r>
  <r>
    <s v="Matthew Gomez"/>
    <x v="3"/>
    <s v="T-Shirt"/>
    <d v="2025-08-10T00:00:00"/>
    <d v="2025-08-13T00:00:00"/>
    <n v="9"/>
    <n v="967"/>
    <x v="0"/>
    <x v="2"/>
    <x v="1"/>
    <x v="1"/>
    <x v="0"/>
    <x v="2"/>
    <n v="3"/>
    <n v="5657"/>
    <n v="8703"/>
    <n v="3046"/>
  </r>
  <r>
    <s v="Matthew Miller"/>
    <x v="3"/>
    <s v="Jeans"/>
    <d v="2024-05-22T00:00:00"/>
    <d v="2024-06-05T00:00:00"/>
    <n v="2"/>
    <n v="601"/>
    <x v="0"/>
    <x v="5"/>
    <x v="1"/>
    <x v="0"/>
    <x v="1"/>
    <x v="0"/>
    <n v="14"/>
    <n v="841"/>
    <n v="1202"/>
    <n v="361"/>
  </r>
  <r>
    <s v="Matthew Ross"/>
    <x v="3"/>
    <s v="Sneakers"/>
    <d v="2024-09-05T00:00:00"/>
    <d v="2024-09-19T00:00:00"/>
    <n v="8"/>
    <n v="228"/>
    <x v="0"/>
    <x v="1"/>
    <x v="0"/>
    <x v="0"/>
    <x v="9"/>
    <x v="1"/>
    <n v="14"/>
    <n v="1368"/>
    <n v="1824"/>
    <n v="456"/>
  </r>
  <r>
    <s v="Matthew Ross"/>
    <x v="4"/>
    <s v="Juice"/>
    <d v="2025-01-12T00:00:00"/>
    <d v="2025-01-27T00:00:00"/>
    <n v="10"/>
    <n v="639"/>
    <x v="1"/>
    <x v="6"/>
    <x v="3"/>
    <x v="1"/>
    <x v="6"/>
    <x v="2"/>
    <n v="15"/>
    <n v="3515"/>
    <n v="6390"/>
    <n v="2875"/>
  </r>
  <r>
    <s v="Matthew Steele"/>
    <x v="4"/>
    <s v="Milk"/>
    <d v="2025-01-24T00:00:00"/>
    <d v="2025-02-03T00:00:00"/>
    <n v="1"/>
    <n v="909"/>
    <x v="1"/>
    <x v="2"/>
    <x v="2"/>
    <x v="1"/>
    <x v="6"/>
    <x v="6"/>
    <n v="10"/>
    <n v="455"/>
    <n v="909"/>
    <n v="454"/>
  </r>
  <r>
    <s v="Matthew Velez"/>
    <x v="2"/>
    <s v="Children's Book"/>
    <d v="2024-07-31T00:00:00"/>
    <d v="2024-08-03T00:00:00"/>
    <n v="5"/>
    <n v="230"/>
    <x v="0"/>
    <x v="1"/>
    <x v="1"/>
    <x v="0"/>
    <x v="7"/>
    <x v="0"/>
    <n v="3"/>
    <n v="690"/>
    <n v="1150"/>
    <n v="460"/>
  </r>
  <r>
    <s v="Maurice Andrade"/>
    <x v="1"/>
    <s v="Smartphone"/>
    <d v="2024-03-21T00:00:00"/>
    <d v="2024-03-24T00:00:00"/>
    <n v="5"/>
    <n v="856"/>
    <x v="0"/>
    <x v="3"/>
    <x v="1"/>
    <x v="0"/>
    <x v="10"/>
    <x v="1"/>
    <n v="3"/>
    <n v="3210"/>
    <n v="4280"/>
    <n v="1070"/>
  </r>
  <r>
    <s v="Meagan Calderon"/>
    <x v="0"/>
    <s v="Table Lamp"/>
    <d v="2025-04-28T00:00:00"/>
    <d v="2025-05-03T00:00:00"/>
    <n v="3"/>
    <n v="788"/>
    <x v="0"/>
    <x v="1"/>
    <x v="1"/>
    <x v="1"/>
    <x v="5"/>
    <x v="3"/>
    <n v="5"/>
    <n v="1773"/>
    <n v="2364"/>
    <n v="591"/>
  </r>
  <r>
    <s v="Meagan Jenkins"/>
    <x v="4"/>
    <s v="Cereal"/>
    <d v="2025-09-20T00:00:00"/>
    <d v="2025-09-21T00:00:00"/>
    <n v="5"/>
    <n v="55"/>
    <x v="0"/>
    <x v="4"/>
    <x v="3"/>
    <x v="1"/>
    <x v="9"/>
    <x v="5"/>
    <n v="1"/>
    <n v="151"/>
    <n v="275"/>
    <n v="124"/>
  </r>
  <r>
    <s v="Megan Wilson"/>
    <x v="1"/>
    <s v="Smartphone"/>
    <d v="2025-02-06T00:00:00"/>
    <d v="2025-02-15T00:00:00"/>
    <n v="3"/>
    <n v="356"/>
    <x v="0"/>
    <x v="1"/>
    <x v="3"/>
    <x v="1"/>
    <x v="11"/>
    <x v="1"/>
    <n v="9"/>
    <n v="801"/>
    <n v="1068"/>
    <n v="267"/>
  </r>
  <r>
    <s v="Meghan Anthony"/>
    <x v="0"/>
    <s v="Curtains"/>
    <d v="2025-12-04T00:00:00"/>
    <d v="2025-12-13T00:00:00"/>
    <n v="3"/>
    <n v="799"/>
    <x v="0"/>
    <x v="1"/>
    <x v="3"/>
    <x v="1"/>
    <x v="8"/>
    <x v="1"/>
    <n v="9"/>
    <n v="1558"/>
    <n v="2397"/>
    <n v="839"/>
  </r>
  <r>
    <s v="Meghan White"/>
    <x v="3"/>
    <s v="Jeans"/>
    <d v="2025-06-04T00:00:00"/>
    <d v="2025-06-10T00:00:00"/>
    <n v="3"/>
    <n v="723"/>
    <x v="0"/>
    <x v="4"/>
    <x v="3"/>
    <x v="1"/>
    <x v="2"/>
    <x v="0"/>
    <n v="6"/>
    <n v="1518"/>
    <n v="2169"/>
    <n v="651"/>
  </r>
  <r>
    <s v="Melinda Jones"/>
    <x v="1"/>
    <s v="Headphones"/>
    <d v="2024-10-01T00:00:00"/>
    <d v="2024-10-17T00:00:00"/>
    <n v="2"/>
    <n v="954"/>
    <x v="1"/>
    <x v="0"/>
    <x v="0"/>
    <x v="0"/>
    <x v="4"/>
    <x v="4"/>
    <n v="16"/>
    <n v="1240"/>
    <n v="1908"/>
    <n v="668"/>
  </r>
  <r>
    <s v="Melissa Marshall"/>
    <x v="0"/>
    <s v="Cushion"/>
    <d v="2024-03-21T00:00:00"/>
    <d v="2024-04-04T00:00:00"/>
    <n v="8"/>
    <n v="863"/>
    <x v="1"/>
    <x v="2"/>
    <x v="3"/>
    <x v="0"/>
    <x v="10"/>
    <x v="1"/>
    <n v="14"/>
    <n v="4488"/>
    <n v="6904"/>
    <n v="2416"/>
  </r>
  <r>
    <s v="Melissa Marshall"/>
    <x v="3"/>
    <s v="Jacket"/>
    <d v="2025-11-11T00:00:00"/>
    <d v="2025-11-26T00:00:00"/>
    <n v="6"/>
    <n v="250"/>
    <x v="1"/>
    <x v="0"/>
    <x v="0"/>
    <x v="1"/>
    <x v="3"/>
    <x v="4"/>
    <n v="15"/>
    <n v="1200"/>
    <n v="1500"/>
    <n v="300"/>
  </r>
  <r>
    <s v="Melissa Williams"/>
    <x v="1"/>
    <s v="Laptop"/>
    <d v="2024-09-22T00:00:00"/>
    <d v="2024-10-07T00:00:00"/>
    <n v="4"/>
    <n v="584"/>
    <x v="1"/>
    <x v="6"/>
    <x v="2"/>
    <x v="0"/>
    <x v="9"/>
    <x v="2"/>
    <n v="15"/>
    <n v="1986"/>
    <n v="2336"/>
    <n v="350"/>
  </r>
  <r>
    <s v="Michael Cruz"/>
    <x v="0"/>
    <s v="Vase"/>
    <d v="2025-04-15T00:00:00"/>
    <d v="2025-04-19T00:00:00"/>
    <n v="2"/>
    <n v="919"/>
    <x v="0"/>
    <x v="4"/>
    <x v="1"/>
    <x v="1"/>
    <x v="5"/>
    <x v="4"/>
    <n v="4"/>
    <n v="1379"/>
    <n v="1838"/>
    <n v="459"/>
  </r>
  <r>
    <s v="Michael Durham"/>
    <x v="1"/>
    <s v="Laptop"/>
    <d v="2025-04-17T00:00:00"/>
    <d v="2025-04-22T00:00:00"/>
    <n v="9"/>
    <n v="860"/>
    <x v="0"/>
    <x v="6"/>
    <x v="3"/>
    <x v="1"/>
    <x v="5"/>
    <x v="1"/>
    <n v="5"/>
    <n v="6579"/>
    <n v="7740"/>
    <n v="1161"/>
  </r>
  <r>
    <s v="Michael Evans"/>
    <x v="0"/>
    <s v="Wall Art"/>
    <d v="2024-12-09T00:00:00"/>
    <d v="2024-12-12T00:00:00"/>
    <n v="6"/>
    <n v="458"/>
    <x v="0"/>
    <x v="2"/>
    <x v="1"/>
    <x v="0"/>
    <x v="8"/>
    <x v="3"/>
    <n v="3"/>
    <n v="1924"/>
    <n v="2748"/>
    <n v="824"/>
  </r>
  <r>
    <s v="Michael Evans"/>
    <x v="4"/>
    <s v="Cereal"/>
    <d v="2025-03-25T00:00:00"/>
    <d v="2025-03-29T00:00:00"/>
    <n v="4"/>
    <n v="247"/>
    <x v="0"/>
    <x v="2"/>
    <x v="3"/>
    <x v="1"/>
    <x v="10"/>
    <x v="4"/>
    <n v="4"/>
    <n v="543"/>
    <n v="988"/>
    <n v="445"/>
  </r>
  <r>
    <s v="Michael Fox"/>
    <x v="1"/>
    <s v="Camera"/>
    <d v="2024-04-12T00:00:00"/>
    <d v="2024-04-21T00:00:00"/>
    <n v="10"/>
    <n v="568"/>
    <x v="0"/>
    <x v="5"/>
    <x v="3"/>
    <x v="0"/>
    <x v="5"/>
    <x v="6"/>
    <n v="9"/>
    <n v="4544"/>
    <n v="5680"/>
    <n v="1136"/>
  </r>
  <r>
    <s v="Michael Johnson"/>
    <x v="2"/>
    <s v="Non-Fiction"/>
    <d v="2025-04-28T00:00:00"/>
    <d v="2025-05-01T00:00:00"/>
    <n v="10"/>
    <n v="678"/>
    <x v="0"/>
    <x v="0"/>
    <x v="3"/>
    <x v="1"/>
    <x v="5"/>
    <x v="3"/>
    <n v="3"/>
    <n v="3390"/>
    <n v="6780"/>
    <n v="3390"/>
  </r>
  <r>
    <s v="Michael Mcbride"/>
    <x v="4"/>
    <s v="Milk"/>
    <d v="2025-05-05T00:00:00"/>
    <d v="2025-05-08T00:00:00"/>
    <n v="2"/>
    <n v="874"/>
    <x v="0"/>
    <x v="4"/>
    <x v="0"/>
    <x v="1"/>
    <x v="1"/>
    <x v="3"/>
    <n v="3"/>
    <n v="874"/>
    <n v="1748"/>
    <n v="874"/>
  </r>
  <r>
    <s v="Michael Meadows"/>
    <x v="1"/>
    <s v="Camera"/>
    <d v="2024-12-23T00:00:00"/>
    <d v="2025-01-05T00:00:00"/>
    <n v="7"/>
    <n v="835"/>
    <x v="0"/>
    <x v="4"/>
    <x v="3"/>
    <x v="0"/>
    <x v="8"/>
    <x v="3"/>
    <n v="13"/>
    <n v="4676"/>
    <n v="5845"/>
    <n v="1169"/>
  </r>
  <r>
    <s v="Michael Shaffer"/>
    <x v="4"/>
    <s v="Rice"/>
    <d v="2024-06-24T00:00:00"/>
    <d v="2024-07-03T00:00:00"/>
    <n v="2"/>
    <n v="526"/>
    <x v="0"/>
    <x v="2"/>
    <x v="0"/>
    <x v="0"/>
    <x v="2"/>
    <x v="3"/>
    <n v="9"/>
    <n v="631"/>
    <n v="1052"/>
    <n v="421"/>
  </r>
  <r>
    <s v="Michael Snyder"/>
    <x v="2"/>
    <s v="Non-Fiction"/>
    <d v="2024-09-16T00:00:00"/>
    <d v="2024-09-21T00:00:00"/>
    <n v="5"/>
    <n v="496"/>
    <x v="0"/>
    <x v="6"/>
    <x v="2"/>
    <x v="0"/>
    <x v="9"/>
    <x v="3"/>
    <n v="5"/>
    <n v="1240"/>
    <n v="2480"/>
    <n v="1240"/>
  </r>
  <r>
    <s v="Michael Snyder"/>
    <x v="3"/>
    <s v="Jeans"/>
    <d v="2025-11-06T00:00:00"/>
    <d v="2025-11-12T00:00:00"/>
    <n v="7"/>
    <n v="568"/>
    <x v="1"/>
    <x v="6"/>
    <x v="3"/>
    <x v="1"/>
    <x v="3"/>
    <x v="1"/>
    <n v="6"/>
    <n v="2783"/>
    <n v="3976"/>
    <n v="1193"/>
  </r>
  <r>
    <s v="Michael Stanley"/>
    <x v="1"/>
    <s v="Laptop"/>
    <d v="2024-11-17T00:00:00"/>
    <d v="2024-11-27T00:00:00"/>
    <n v="8"/>
    <n v="485"/>
    <x v="1"/>
    <x v="1"/>
    <x v="3"/>
    <x v="0"/>
    <x v="3"/>
    <x v="2"/>
    <n v="10"/>
    <n v="3298"/>
    <n v="3880"/>
    <n v="582"/>
  </r>
  <r>
    <s v="Michael Stephens"/>
    <x v="2"/>
    <s v="Non-Fiction"/>
    <d v="2024-05-20T00:00:00"/>
    <d v="2024-05-26T00:00:00"/>
    <n v="1"/>
    <n v="65"/>
    <x v="1"/>
    <x v="2"/>
    <x v="0"/>
    <x v="0"/>
    <x v="1"/>
    <x v="3"/>
    <n v="6"/>
    <n v="33"/>
    <n v="65"/>
    <n v="32"/>
  </r>
  <r>
    <s v="Michael Watkins"/>
    <x v="4"/>
    <s v="Cereal"/>
    <d v="2024-07-28T00:00:00"/>
    <d v="2024-08-01T00:00:00"/>
    <n v="6"/>
    <n v="338"/>
    <x v="0"/>
    <x v="2"/>
    <x v="2"/>
    <x v="0"/>
    <x v="7"/>
    <x v="2"/>
    <n v="4"/>
    <n v="1115"/>
    <n v="2028"/>
    <n v="913"/>
  </r>
  <r>
    <s v="Michael West"/>
    <x v="4"/>
    <s v="Cereal"/>
    <d v="2024-10-10T00:00:00"/>
    <d v="2024-10-13T00:00:00"/>
    <n v="3"/>
    <n v="206"/>
    <x v="1"/>
    <x v="0"/>
    <x v="1"/>
    <x v="0"/>
    <x v="4"/>
    <x v="1"/>
    <n v="3"/>
    <n v="340"/>
    <n v="618"/>
    <n v="278"/>
  </r>
  <r>
    <s v="Michael West"/>
    <x v="1"/>
    <s v="Laptop"/>
    <d v="2025-10-05T00:00:00"/>
    <d v="2025-10-19T00:00:00"/>
    <n v="5"/>
    <n v="163"/>
    <x v="1"/>
    <x v="0"/>
    <x v="2"/>
    <x v="1"/>
    <x v="4"/>
    <x v="2"/>
    <n v="14"/>
    <n v="693"/>
    <n v="815"/>
    <n v="122"/>
  </r>
  <r>
    <s v="Michael Young"/>
    <x v="3"/>
    <s v="Jacket"/>
    <d v="2025-03-20T00:00:00"/>
    <d v="2025-03-27T00:00:00"/>
    <n v="6"/>
    <n v="662"/>
    <x v="0"/>
    <x v="0"/>
    <x v="3"/>
    <x v="1"/>
    <x v="10"/>
    <x v="1"/>
    <n v="7"/>
    <n v="3178"/>
    <n v="3972"/>
    <n v="794"/>
  </r>
  <r>
    <s v="Michele Garcia"/>
    <x v="0"/>
    <s v="Vase"/>
    <d v="2024-03-02T00:00:00"/>
    <d v="2024-03-13T00:00:00"/>
    <n v="10"/>
    <n v="811"/>
    <x v="1"/>
    <x v="4"/>
    <x v="2"/>
    <x v="0"/>
    <x v="10"/>
    <x v="5"/>
    <n v="11"/>
    <n v="6083"/>
    <n v="8110"/>
    <n v="2027"/>
  </r>
  <r>
    <s v="Michelle Hampton"/>
    <x v="2"/>
    <s v="Biography"/>
    <d v="2024-12-09T00:00:00"/>
    <d v="2024-12-23T00:00:00"/>
    <n v="2"/>
    <n v="430"/>
    <x v="1"/>
    <x v="6"/>
    <x v="3"/>
    <x v="0"/>
    <x v="8"/>
    <x v="3"/>
    <n v="14"/>
    <n v="473"/>
    <n v="860"/>
    <n v="387"/>
  </r>
  <r>
    <s v="Michelle Pierce"/>
    <x v="2"/>
    <s v="Non-Fiction"/>
    <d v="2025-11-16T00:00:00"/>
    <d v="2025-11-25T00:00:00"/>
    <n v="8"/>
    <n v="137"/>
    <x v="0"/>
    <x v="0"/>
    <x v="2"/>
    <x v="1"/>
    <x v="3"/>
    <x v="2"/>
    <n v="9"/>
    <n v="548"/>
    <n v="1096"/>
    <n v="548"/>
  </r>
  <r>
    <s v="Michelle Simpson"/>
    <x v="3"/>
    <s v="Jeans"/>
    <d v="2024-05-29T00:00:00"/>
    <d v="2024-06-03T00:00:00"/>
    <n v="7"/>
    <n v="11"/>
    <x v="0"/>
    <x v="2"/>
    <x v="2"/>
    <x v="0"/>
    <x v="1"/>
    <x v="0"/>
    <n v="5"/>
    <n v="54"/>
    <n v="77"/>
    <n v="23"/>
  </r>
  <r>
    <s v="Michelle Wagner"/>
    <x v="2"/>
    <s v="Fiction"/>
    <d v="2024-12-07T00:00:00"/>
    <d v="2024-12-19T00:00:00"/>
    <n v="9"/>
    <n v="316"/>
    <x v="0"/>
    <x v="2"/>
    <x v="2"/>
    <x v="0"/>
    <x v="8"/>
    <x v="5"/>
    <n v="12"/>
    <n v="1422"/>
    <n v="2844"/>
    <n v="1422"/>
  </r>
  <r>
    <s v="Michelle Wagner"/>
    <x v="1"/>
    <s v="Laptop"/>
    <d v="2025-02-05T00:00:00"/>
    <d v="2025-02-06T00:00:00"/>
    <n v="4"/>
    <n v="572"/>
    <x v="0"/>
    <x v="0"/>
    <x v="0"/>
    <x v="1"/>
    <x v="11"/>
    <x v="0"/>
    <n v="1"/>
    <n v="1945"/>
    <n v="2288"/>
    <n v="343"/>
  </r>
  <r>
    <s v="Michelle Williams"/>
    <x v="2"/>
    <s v="Children's Book"/>
    <d v="2024-08-06T00:00:00"/>
    <d v="2024-08-18T00:00:00"/>
    <n v="9"/>
    <n v="345"/>
    <x v="1"/>
    <x v="4"/>
    <x v="3"/>
    <x v="0"/>
    <x v="0"/>
    <x v="4"/>
    <n v="12"/>
    <n v="1863"/>
    <n v="3105"/>
    <n v="1242"/>
  </r>
  <r>
    <s v="Miguel Jones"/>
    <x v="3"/>
    <s v="Jeans"/>
    <d v="2025-08-06T00:00:00"/>
    <d v="2025-08-12T00:00:00"/>
    <n v="5"/>
    <n v="285"/>
    <x v="0"/>
    <x v="4"/>
    <x v="3"/>
    <x v="1"/>
    <x v="0"/>
    <x v="0"/>
    <n v="6"/>
    <n v="998"/>
    <n v="1425"/>
    <n v="427"/>
  </r>
  <r>
    <s v="Mitchell Jackson"/>
    <x v="2"/>
    <s v="Biography"/>
    <d v="2025-03-09T00:00:00"/>
    <d v="2025-03-14T00:00:00"/>
    <n v="6"/>
    <n v="788"/>
    <x v="0"/>
    <x v="1"/>
    <x v="3"/>
    <x v="1"/>
    <x v="10"/>
    <x v="2"/>
    <n v="5"/>
    <n v="2600"/>
    <n v="4728"/>
    <n v="2128"/>
  </r>
  <r>
    <s v="monica"/>
    <x v="2"/>
    <s v="Cookbook"/>
    <d v="2024-08-09T00:00:00"/>
    <d v="2024-08-13T00:00:00"/>
    <n v="1"/>
    <n v="50"/>
    <x v="0"/>
    <x v="4"/>
    <x v="0"/>
    <x v="0"/>
    <x v="0"/>
    <x v="6"/>
    <n v="4"/>
    <n v="33"/>
    <n v="50"/>
    <n v="17"/>
  </r>
  <r>
    <s v="Monica Gallagher"/>
    <x v="1"/>
    <s v="Tablet"/>
    <d v="2024-11-07T00:00:00"/>
    <d v="2024-11-12T00:00:00"/>
    <n v="3"/>
    <n v="77"/>
    <x v="1"/>
    <x v="4"/>
    <x v="0"/>
    <x v="0"/>
    <x v="3"/>
    <x v="1"/>
    <n v="5"/>
    <n v="162"/>
    <n v="231"/>
    <n v="69"/>
  </r>
  <r>
    <s v="Morgan Davenport"/>
    <x v="0"/>
    <s v="Table Lamp"/>
    <d v="2025-10-04T00:00:00"/>
    <d v="2025-10-10T00:00:00"/>
    <n v="5"/>
    <n v="953"/>
    <x v="0"/>
    <x v="1"/>
    <x v="0"/>
    <x v="1"/>
    <x v="4"/>
    <x v="5"/>
    <n v="6"/>
    <n v="3574"/>
    <n v="4765"/>
    <n v="1191"/>
  </r>
  <r>
    <s v="Morgan Kim"/>
    <x v="3"/>
    <s v="Sneakers"/>
    <d v="2025-12-16T00:00:00"/>
    <d v="2025-12-29T00:00:00"/>
    <n v="8"/>
    <n v="259"/>
    <x v="1"/>
    <x v="1"/>
    <x v="0"/>
    <x v="1"/>
    <x v="8"/>
    <x v="4"/>
    <n v="13"/>
    <n v="1554"/>
    <n v="2072"/>
    <n v="518"/>
  </r>
  <r>
    <s v="Nathan Stewart"/>
    <x v="2"/>
    <s v="Children's Book"/>
    <d v="2025-12-17T00:00:00"/>
    <d v="2025-12-26T00:00:00"/>
    <n v="3"/>
    <n v="868"/>
    <x v="0"/>
    <x v="1"/>
    <x v="1"/>
    <x v="1"/>
    <x v="8"/>
    <x v="0"/>
    <n v="9"/>
    <n v="1562"/>
    <n v="2604"/>
    <n v="1042"/>
  </r>
  <r>
    <s v="Nicolas Salas II"/>
    <x v="1"/>
    <s v="Tablet"/>
    <d v="2024-03-02T00:00:00"/>
    <d v="2024-03-15T00:00:00"/>
    <n v="7"/>
    <n v="720"/>
    <x v="0"/>
    <x v="5"/>
    <x v="1"/>
    <x v="0"/>
    <x v="10"/>
    <x v="5"/>
    <n v="13"/>
    <n v="3528"/>
    <n v="5040"/>
    <n v="1512"/>
  </r>
  <r>
    <s v="Nicole Evans"/>
    <x v="0"/>
    <s v="Wall Art"/>
    <d v="2024-07-17T00:00:00"/>
    <d v="2024-07-23T00:00:00"/>
    <n v="2"/>
    <n v="752"/>
    <x v="1"/>
    <x v="2"/>
    <x v="1"/>
    <x v="0"/>
    <x v="7"/>
    <x v="0"/>
    <n v="6"/>
    <n v="1053"/>
    <n v="1504"/>
    <n v="451"/>
  </r>
  <r>
    <s v="Nicole Patterson"/>
    <x v="4"/>
    <s v="Cereal"/>
    <d v="2024-03-24T00:00:00"/>
    <d v="2024-04-05T00:00:00"/>
    <n v="6"/>
    <n v="373"/>
    <x v="1"/>
    <x v="4"/>
    <x v="0"/>
    <x v="0"/>
    <x v="10"/>
    <x v="2"/>
    <n v="12"/>
    <n v="1231"/>
    <n v="2238"/>
    <n v="1007"/>
  </r>
  <r>
    <s v="Nicole Thompson"/>
    <x v="1"/>
    <s v="Smartphone"/>
    <d v="2024-09-11T00:00:00"/>
    <d v="2024-09-24T00:00:00"/>
    <n v="7"/>
    <n v="189"/>
    <x v="1"/>
    <x v="4"/>
    <x v="1"/>
    <x v="0"/>
    <x v="9"/>
    <x v="0"/>
    <n v="13"/>
    <n v="992"/>
    <n v="1323"/>
    <n v="331"/>
  </r>
  <r>
    <s v="Pamela Jackson"/>
    <x v="0"/>
    <s v="Curtains"/>
    <d v="2025-11-17T00:00:00"/>
    <d v="2025-11-23T00:00:00"/>
    <n v="4"/>
    <n v="149"/>
    <x v="0"/>
    <x v="1"/>
    <x v="0"/>
    <x v="1"/>
    <x v="3"/>
    <x v="3"/>
    <n v="6"/>
    <n v="387"/>
    <n v="596"/>
    <n v="209"/>
  </r>
  <r>
    <s v="Pamela Romero"/>
    <x v="3"/>
    <s v="T-Shirt"/>
    <d v="2024-06-10T00:00:00"/>
    <d v="2024-06-25T00:00:00"/>
    <n v="7"/>
    <n v="284"/>
    <x v="1"/>
    <x v="4"/>
    <x v="1"/>
    <x v="0"/>
    <x v="2"/>
    <x v="3"/>
    <n v="15"/>
    <n v="1292"/>
    <n v="1988"/>
    <n v="696"/>
  </r>
  <r>
    <s v="Pamela Romero"/>
    <x v="2"/>
    <s v="Children's Book"/>
    <d v="2025-11-26T00:00:00"/>
    <d v="2025-12-05T00:00:00"/>
    <n v="5"/>
    <n v="900"/>
    <x v="1"/>
    <x v="1"/>
    <x v="3"/>
    <x v="1"/>
    <x v="3"/>
    <x v="0"/>
    <n v="9"/>
    <n v="2700"/>
    <n v="4500"/>
    <n v="1800"/>
  </r>
  <r>
    <s v="Pamela Weaver"/>
    <x v="2"/>
    <s v="Biography"/>
    <d v="2025-01-03T00:00:00"/>
    <d v="2025-01-10T00:00:00"/>
    <n v="9"/>
    <n v="727"/>
    <x v="0"/>
    <x v="4"/>
    <x v="2"/>
    <x v="1"/>
    <x v="6"/>
    <x v="6"/>
    <n v="7"/>
    <n v="3599"/>
    <n v="6543"/>
    <n v="2944"/>
  </r>
  <r>
    <s v="paratha"/>
    <x v="4"/>
    <s v="Cereal"/>
    <d v="2024-04-01T00:00:00"/>
    <d v="2024-04-05T00:00:00"/>
    <n v="15"/>
    <n v="800"/>
    <x v="0"/>
    <x v="1"/>
    <x v="1"/>
    <x v="0"/>
    <x v="5"/>
    <x v="3"/>
    <n v="4"/>
    <n v="6600"/>
    <n v="12000"/>
    <n v="5400"/>
  </r>
  <r>
    <s v="Patricia Becker"/>
    <x v="4"/>
    <s v="Milk"/>
    <d v="2025-11-27T00:00:00"/>
    <d v="2025-12-03T00:00:00"/>
    <n v="9"/>
    <n v="185"/>
    <x v="1"/>
    <x v="4"/>
    <x v="2"/>
    <x v="1"/>
    <x v="3"/>
    <x v="1"/>
    <n v="6"/>
    <n v="833"/>
    <n v="1665"/>
    <n v="832"/>
  </r>
  <r>
    <s v="Patricia Bradley"/>
    <x v="3"/>
    <s v="T-Shirt"/>
    <d v="2024-06-18T00:00:00"/>
    <d v="2024-06-24T00:00:00"/>
    <n v="3"/>
    <n v="758"/>
    <x v="1"/>
    <x v="0"/>
    <x v="0"/>
    <x v="0"/>
    <x v="2"/>
    <x v="4"/>
    <n v="6"/>
    <n v="1478"/>
    <n v="2274"/>
    <n v="796"/>
  </r>
  <r>
    <s v="Patricia Collins"/>
    <x v="3"/>
    <s v="Dress"/>
    <d v="2024-09-20T00:00:00"/>
    <d v="2024-09-27T00:00:00"/>
    <n v="3"/>
    <n v="345"/>
    <x v="0"/>
    <x v="2"/>
    <x v="3"/>
    <x v="0"/>
    <x v="9"/>
    <x v="6"/>
    <n v="7"/>
    <n v="725"/>
    <n v="1035"/>
    <n v="310"/>
  </r>
  <r>
    <s v="Patricia Johnson"/>
    <x v="2"/>
    <s v="Biography"/>
    <d v="2025-02-10T00:00:00"/>
    <d v="2025-02-19T00:00:00"/>
    <n v="1"/>
    <n v="200"/>
    <x v="1"/>
    <x v="1"/>
    <x v="1"/>
    <x v="1"/>
    <x v="11"/>
    <x v="3"/>
    <n v="9"/>
    <n v="110"/>
    <n v="200"/>
    <n v="90"/>
  </r>
  <r>
    <s v="Paul Neal"/>
    <x v="0"/>
    <s v="Table Lamp"/>
    <d v="2024-08-18T00:00:00"/>
    <d v="2024-08-25T00:00:00"/>
    <n v="8"/>
    <n v="706"/>
    <x v="0"/>
    <x v="2"/>
    <x v="2"/>
    <x v="0"/>
    <x v="0"/>
    <x v="2"/>
    <n v="7"/>
    <n v="4236"/>
    <n v="5648"/>
    <n v="1412"/>
  </r>
  <r>
    <s v="Paul Williams"/>
    <x v="4"/>
    <s v="Milk"/>
    <d v="2025-06-19T00:00:00"/>
    <d v="2025-06-25T00:00:00"/>
    <n v="7"/>
    <n v="409"/>
    <x v="0"/>
    <x v="2"/>
    <x v="0"/>
    <x v="1"/>
    <x v="2"/>
    <x v="1"/>
    <n v="6"/>
    <n v="1432"/>
    <n v="2863"/>
    <n v="1431"/>
  </r>
  <r>
    <s v="Paula Bradley"/>
    <x v="2"/>
    <s v="Biography"/>
    <d v="2025-03-26T00:00:00"/>
    <d v="2025-04-04T00:00:00"/>
    <n v="7"/>
    <n v="216"/>
    <x v="1"/>
    <x v="0"/>
    <x v="1"/>
    <x v="1"/>
    <x v="10"/>
    <x v="0"/>
    <n v="9"/>
    <n v="832"/>
    <n v="1512"/>
    <n v="680"/>
  </r>
  <r>
    <s v="Peggy Vaughn"/>
    <x v="1"/>
    <s v="Headphones"/>
    <d v="2025-07-16T00:00:00"/>
    <d v="2025-07-29T00:00:00"/>
    <n v="2"/>
    <n v="146"/>
    <x v="1"/>
    <x v="6"/>
    <x v="3"/>
    <x v="1"/>
    <x v="7"/>
    <x v="0"/>
    <n v="13"/>
    <n v="190"/>
    <n v="292"/>
    <n v="102"/>
  </r>
  <r>
    <s v="Penny Anderson"/>
    <x v="3"/>
    <s v="Jacket"/>
    <d v="2024-06-09T00:00:00"/>
    <d v="2024-06-19T00:00:00"/>
    <n v="7"/>
    <n v="56"/>
    <x v="1"/>
    <x v="2"/>
    <x v="0"/>
    <x v="0"/>
    <x v="2"/>
    <x v="2"/>
    <n v="10"/>
    <n v="314"/>
    <n v="392"/>
    <n v="78"/>
  </r>
  <r>
    <s v="Penny Gomez MD"/>
    <x v="4"/>
    <s v="Cereal"/>
    <d v="2024-06-14T00:00:00"/>
    <d v="2024-06-18T00:00:00"/>
    <n v="5"/>
    <n v="355"/>
    <x v="0"/>
    <x v="3"/>
    <x v="3"/>
    <x v="0"/>
    <x v="2"/>
    <x v="6"/>
    <n v="4"/>
    <n v="976"/>
    <n v="1775"/>
    <n v="799"/>
  </r>
  <r>
    <s v="penny half"/>
    <x v="4"/>
    <s v="Camera"/>
    <d v="2024-06-20T00:00:00"/>
    <d v="2024-06-25T00:00:00"/>
    <n v="2"/>
    <n v="20"/>
    <x v="1"/>
    <x v="5"/>
    <x v="1"/>
    <x v="0"/>
    <x v="2"/>
    <x v="1"/>
    <n v="5"/>
    <n v="32"/>
    <n v="40"/>
    <n v="8"/>
  </r>
  <r>
    <s v="Penny Lewis"/>
    <x v="2"/>
    <s v="Cookbook"/>
    <d v="2024-12-10T00:00:00"/>
    <d v="2024-12-19T00:00:00"/>
    <n v="6"/>
    <n v="252"/>
    <x v="1"/>
    <x v="6"/>
    <x v="0"/>
    <x v="0"/>
    <x v="8"/>
    <x v="4"/>
    <n v="9"/>
    <n v="983"/>
    <n v="1512"/>
    <n v="529"/>
  </r>
  <r>
    <s v="Peter Walker"/>
    <x v="1"/>
    <s v="Smartphone"/>
    <d v="2025-06-26T00:00:00"/>
    <d v="2025-06-30T00:00:00"/>
    <n v="1"/>
    <n v="934"/>
    <x v="0"/>
    <x v="2"/>
    <x v="2"/>
    <x v="1"/>
    <x v="2"/>
    <x v="1"/>
    <n v="4"/>
    <n v="701"/>
    <n v="934"/>
    <n v="233"/>
  </r>
  <r>
    <s v="Peter Williams"/>
    <x v="0"/>
    <s v="Vase"/>
    <d v="2025-09-17T00:00:00"/>
    <d v="2025-09-23T00:00:00"/>
    <n v="1"/>
    <n v="805"/>
    <x v="1"/>
    <x v="1"/>
    <x v="0"/>
    <x v="1"/>
    <x v="9"/>
    <x v="0"/>
    <n v="6"/>
    <n v="604"/>
    <n v="805"/>
    <n v="201"/>
  </r>
  <r>
    <s v="Philip Garcia"/>
    <x v="2"/>
    <s v="Biography"/>
    <d v="2025-04-27T00:00:00"/>
    <d v="2025-05-04T00:00:00"/>
    <n v="1"/>
    <n v="692"/>
    <x v="1"/>
    <x v="0"/>
    <x v="1"/>
    <x v="1"/>
    <x v="5"/>
    <x v="2"/>
    <n v="7"/>
    <n v="381"/>
    <n v="692"/>
    <n v="311"/>
  </r>
  <r>
    <s v="Phillip Andrews"/>
    <x v="2"/>
    <s v="Biography"/>
    <d v="2024-08-12T00:00:00"/>
    <d v="2024-08-17T00:00:00"/>
    <n v="2"/>
    <n v="489"/>
    <x v="1"/>
    <x v="2"/>
    <x v="0"/>
    <x v="0"/>
    <x v="0"/>
    <x v="3"/>
    <n v="5"/>
    <n v="538"/>
    <n v="978"/>
    <n v="440"/>
  </r>
  <r>
    <s v="Phillip Nelson"/>
    <x v="1"/>
    <s v="Tablet"/>
    <d v="2024-01-29T00:00:00"/>
    <d v="2024-02-05T00:00:00"/>
    <n v="5"/>
    <n v="377"/>
    <x v="0"/>
    <x v="6"/>
    <x v="1"/>
    <x v="0"/>
    <x v="6"/>
    <x v="3"/>
    <n v="7"/>
    <n v="1320"/>
    <n v="1885"/>
    <n v="565"/>
  </r>
  <r>
    <s v="Rachel Gibson"/>
    <x v="2"/>
    <s v="Biography"/>
    <d v="2024-09-07T00:00:00"/>
    <d v="2024-09-17T00:00:00"/>
    <n v="1"/>
    <n v="124"/>
    <x v="0"/>
    <x v="6"/>
    <x v="2"/>
    <x v="0"/>
    <x v="9"/>
    <x v="5"/>
    <n v="10"/>
    <n v="68"/>
    <n v="124"/>
    <n v="56"/>
  </r>
  <r>
    <s v="Rachel Gibson"/>
    <x v="3"/>
    <s v="Jeans"/>
    <d v="2025-05-23T00:00:00"/>
    <d v="2025-05-26T00:00:00"/>
    <n v="4"/>
    <n v="740"/>
    <x v="0"/>
    <x v="1"/>
    <x v="0"/>
    <x v="1"/>
    <x v="1"/>
    <x v="6"/>
    <n v="3"/>
    <n v="2072"/>
    <n v="2960"/>
    <n v="888"/>
  </r>
  <r>
    <s v="Rachel Holland"/>
    <x v="4"/>
    <s v="Cereal"/>
    <d v="2025-07-25T00:00:00"/>
    <d v="2025-07-30T00:00:00"/>
    <n v="4"/>
    <n v="176"/>
    <x v="1"/>
    <x v="4"/>
    <x v="0"/>
    <x v="1"/>
    <x v="7"/>
    <x v="6"/>
    <n v="5"/>
    <n v="387"/>
    <n v="704"/>
    <n v="317"/>
  </r>
  <r>
    <s v="Rachel Shannon"/>
    <x v="0"/>
    <s v="Table Lamp"/>
    <d v="2025-09-26T00:00:00"/>
    <d v="2025-10-04T00:00:00"/>
    <n v="9"/>
    <n v="286"/>
    <x v="1"/>
    <x v="2"/>
    <x v="3"/>
    <x v="1"/>
    <x v="9"/>
    <x v="6"/>
    <n v="8"/>
    <n v="1931"/>
    <n v="2574"/>
    <n v="643"/>
  </r>
  <r>
    <s v="Rachel Shields"/>
    <x v="2"/>
    <s v="Non-Fiction"/>
    <d v="2025-07-23T00:00:00"/>
    <d v="2025-07-31T00:00:00"/>
    <n v="6"/>
    <n v="366"/>
    <x v="0"/>
    <x v="4"/>
    <x v="3"/>
    <x v="1"/>
    <x v="7"/>
    <x v="0"/>
    <n v="8"/>
    <n v="1098"/>
    <n v="2196"/>
    <n v="1098"/>
  </r>
  <r>
    <s v="Raheem Bheek"/>
    <x v="2"/>
    <s v="Biography"/>
    <d v="2024-03-17T00:00:00"/>
    <d v="2024-03-20T00:00:00"/>
    <n v="1"/>
    <n v="100"/>
    <x v="2"/>
    <x v="3"/>
    <x v="3"/>
    <x v="0"/>
    <x v="10"/>
    <x v="2"/>
    <n v="3"/>
    <n v="55"/>
    <n v="100"/>
    <n v="45"/>
  </r>
  <r>
    <s v="Ralph Yates"/>
    <x v="1"/>
    <s v="Laptop"/>
    <d v="2024-12-25T00:00:00"/>
    <d v="2025-01-01T00:00:00"/>
    <n v="1"/>
    <n v="177"/>
    <x v="1"/>
    <x v="0"/>
    <x v="1"/>
    <x v="0"/>
    <x v="8"/>
    <x v="0"/>
    <n v="7"/>
    <n v="150"/>
    <n v="177"/>
    <n v="27"/>
  </r>
  <r>
    <s v="Randall Johnson"/>
    <x v="3"/>
    <s v="T-Shirt"/>
    <d v="2024-10-24T00:00:00"/>
    <d v="2024-11-12T00:00:00"/>
    <n v="6"/>
    <n v="146"/>
    <x v="1"/>
    <x v="4"/>
    <x v="1"/>
    <x v="0"/>
    <x v="4"/>
    <x v="1"/>
    <n v="19"/>
    <n v="569"/>
    <n v="876"/>
    <n v="307"/>
  </r>
  <r>
    <s v="Randy Warren"/>
    <x v="3"/>
    <s v="Jeans"/>
    <d v="2025-02-10T00:00:00"/>
    <d v="2025-02-11T00:00:00"/>
    <n v="3"/>
    <n v="288"/>
    <x v="0"/>
    <x v="4"/>
    <x v="3"/>
    <x v="1"/>
    <x v="11"/>
    <x v="3"/>
    <n v="1"/>
    <n v="605"/>
    <n v="864"/>
    <n v="259"/>
  </r>
  <r>
    <s v="Ray Boyd"/>
    <x v="0"/>
    <s v="Table Lamp"/>
    <d v="2025-12-17T00:00:00"/>
    <d v="2025-12-27T00:00:00"/>
    <n v="10"/>
    <n v="172"/>
    <x v="0"/>
    <x v="2"/>
    <x v="1"/>
    <x v="1"/>
    <x v="8"/>
    <x v="0"/>
    <n v="10"/>
    <n v="1290"/>
    <n v="1720"/>
    <n v="430"/>
  </r>
  <r>
    <s v="Raymond Oconnor"/>
    <x v="2"/>
    <s v="Cookbook"/>
    <d v="2024-04-03T00:00:00"/>
    <d v="2024-04-11T00:00:00"/>
    <n v="3"/>
    <n v="453"/>
    <x v="0"/>
    <x v="2"/>
    <x v="0"/>
    <x v="0"/>
    <x v="5"/>
    <x v="0"/>
    <n v="8"/>
    <n v="883"/>
    <n v="1359"/>
    <n v="476"/>
  </r>
  <r>
    <s v="Rebecca Hoover"/>
    <x v="3"/>
    <s v="Sneakers"/>
    <d v="2024-10-16T00:00:00"/>
    <d v="2024-10-29T00:00:00"/>
    <n v="8"/>
    <n v="572"/>
    <x v="1"/>
    <x v="3"/>
    <x v="3"/>
    <x v="0"/>
    <x v="4"/>
    <x v="0"/>
    <n v="13"/>
    <n v="3432"/>
    <n v="4576"/>
    <n v="1144"/>
  </r>
  <r>
    <s v="Rebecca Moyer"/>
    <x v="2"/>
    <s v="Non-Fiction"/>
    <d v="2025-06-27T00:00:00"/>
    <d v="2025-07-02T00:00:00"/>
    <n v="3"/>
    <n v="179"/>
    <x v="0"/>
    <x v="1"/>
    <x v="3"/>
    <x v="1"/>
    <x v="2"/>
    <x v="6"/>
    <n v="5"/>
    <n v="269"/>
    <n v="537"/>
    <n v="268"/>
  </r>
  <r>
    <s v="Rebecca Ramsey"/>
    <x v="2"/>
    <s v="Non-Fiction"/>
    <d v="2024-08-08T00:00:00"/>
    <d v="2024-08-12T00:00:00"/>
    <n v="3"/>
    <n v="52"/>
    <x v="0"/>
    <x v="6"/>
    <x v="3"/>
    <x v="0"/>
    <x v="0"/>
    <x v="1"/>
    <n v="4"/>
    <n v="78"/>
    <n v="156"/>
    <n v="78"/>
  </r>
  <r>
    <s v="Rebecca Ramsey"/>
    <x v="2"/>
    <s v="Children's Book"/>
    <d v="2025-12-18T00:00:00"/>
    <d v="2025-12-27T00:00:00"/>
    <n v="7"/>
    <n v="481"/>
    <x v="1"/>
    <x v="1"/>
    <x v="3"/>
    <x v="1"/>
    <x v="8"/>
    <x v="1"/>
    <n v="9"/>
    <n v="2020"/>
    <n v="3367"/>
    <n v="1347"/>
  </r>
  <r>
    <s v="Rebecca Rodriguez"/>
    <x v="1"/>
    <s v="Headphones"/>
    <d v="2024-09-08T00:00:00"/>
    <d v="2024-09-21T00:00:00"/>
    <n v="2"/>
    <n v="600"/>
    <x v="0"/>
    <x v="2"/>
    <x v="0"/>
    <x v="0"/>
    <x v="9"/>
    <x v="2"/>
    <n v="13"/>
    <n v="780"/>
    <n v="1200"/>
    <n v="420"/>
  </r>
  <r>
    <s v="Rebecca Thompson"/>
    <x v="2"/>
    <s v="Fiction"/>
    <d v="2025-08-28T00:00:00"/>
    <d v="2025-09-05T00:00:00"/>
    <n v="10"/>
    <n v="509"/>
    <x v="1"/>
    <x v="6"/>
    <x v="2"/>
    <x v="1"/>
    <x v="0"/>
    <x v="1"/>
    <n v="8"/>
    <n v="2545"/>
    <n v="5090"/>
    <n v="2545"/>
  </r>
  <r>
    <s v="Rebecca Vargas"/>
    <x v="3"/>
    <s v="Sneakers"/>
    <d v="2024-10-09T00:00:00"/>
    <d v="2024-10-16T00:00:00"/>
    <n v="3"/>
    <n v="402"/>
    <x v="1"/>
    <x v="4"/>
    <x v="3"/>
    <x v="0"/>
    <x v="4"/>
    <x v="0"/>
    <n v="7"/>
    <n v="905"/>
    <n v="1206"/>
    <n v="301"/>
  </r>
  <r>
    <s v="Regina Gonzalez"/>
    <x v="3"/>
    <s v="T-Shirt"/>
    <d v="2025-12-13T00:00:00"/>
    <d v="2025-12-28T00:00:00"/>
    <n v="3"/>
    <n v="744"/>
    <x v="1"/>
    <x v="6"/>
    <x v="3"/>
    <x v="1"/>
    <x v="8"/>
    <x v="5"/>
    <n v="15"/>
    <n v="1451"/>
    <n v="2232"/>
    <n v="781"/>
  </r>
  <r>
    <s v="Regina Mcdonald"/>
    <x v="4"/>
    <s v="Milk"/>
    <d v="2025-04-10T00:00:00"/>
    <d v="2025-04-18T00:00:00"/>
    <n v="10"/>
    <n v="923"/>
    <x v="0"/>
    <x v="1"/>
    <x v="0"/>
    <x v="1"/>
    <x v="5"/>
    <x v="1"/>
    <n v="8"/>
    <n v="4615"/>
    <n v="9230"/>
    <n v="4615"/>
  </r>
  <r>
    <s v="Reginald Diaz"/>
    <x v="0"/>
    <s v="Vase"/>
    <d v="2025-12-21T00:00:00"/>
    <d v="2025-12-24T00:00:00"/>
    <n v="8"/>
    <n v="189"/>
    <x v="0"/>
    <x v="4"/>
    <x v="0"/>
    <x v="1"/>
    <x v="8"/>
    <x v="2"/>
    <n v="3"/>
    <n v="1134"/>
    <n v="1512"/>
    <n v="378"/>
  </r>
  <r>
    <s v="Reginald Knapp"/>
    <x v="3"/>
    <s v="Jeans"/>
    <d v="2025-09-05T00:00:00"/>
    <d v="2025-09-07T00:00:00"/>
    <n v="6"/>
    <n v="117"/>
    <x v="0"/>
    <x v="6"/>
    <x v="2"/>
    <x v="1"/>
    <x v="9"/>
    <x v="6"/>
    <n v="2"/>
    <n v="491"/>
    <n v="702"/>
    <n v="211"/>
  </r>
  <r>
    <s v="Reginald Williams"/>
    <x v="1"/>
    <s v="Smartphone"/>
    <d v="2024-01-16T00:00:00"/>
    <d v="2024-01-29T00:00:00"/>
    <n v="4"/>
    <n v="214"/>
    <x v="1"/>
    <x v="1"/>
    <x v="2"/>
    <x v="0"/>
    <x v="6"/>
    <x v="4"/>
    <n v="13"/>
    <n v="642"/>
    <n v="856"/>
    <n v="214"/>
  </r>
  <r>
    <s v="Rhonda Brown"/>
    <x v="1"/>
    <s v="Tablet"/>
    <d v="2024-11-10T00:00:00"/>
    <d v="2024-11-24T00:00:00"/>
    <n v="7"/>
    <n v="291"/>
    <x v="0"/>
    <x v="2"/>
    <x v="1"/>
    <x v="0"/>
    <x v="3"/>
    <x v="2"/>
    <n v="14"/>
    <n v="1426"/>
    <n v="2037"/>
    <n v="611"/>
  </r>
  <r>
    <s v="Richard Avery"/>
    <x v="4"/>
    <s v="Juice"/>
    <d v="2025-12-16T00:00:00"/>
    <d v="2025-12-26T00:00:00"/>
    <n v="3"/>
    <n v="10"/>
    <x v="0"/>
    <x v="2"/>
    <x v="3"/>
    <x v="1"/>
    <x v="8"/>
    <x v="4"/>
    <n v="10"/>
    <n v="17"/>
    <n v="30"/>
    <n v="13"/>
  </r>
  <r>
    <s v="Richard Camacho"/>
    <x v="3"/>
    <s v="T-Shirt"/>
    <d v="2025-11-03T00:00:00"/>
    <d v="2025-11-10T00:00:00"/>
    <n v="1"/>
    <n v="741"/>
    <x v="0"/>
    <x v="1"/>
    <x v="0"/>
    <x v="1"/>
    <x v="3"/>
    <x v="3"/>
    <n v="7"/>
    <n v="482"/>
    <n v="741"/>
    <n v="259"/>
  </r>
  <r>
    <s v="Richard Jennings"/>
    <x v="0"/>
    <s v="Vase"/>
    <d v="2024-07-13T00:00:00"/>
    <d v="2024-07-19T00:00:00"/>
    <n v="6"/>
    <n v="460"/>
    <x v="1"/>
    <x v="6"/>
    <x v="2"/>
    <x v="0"/>
    <x v="7"/>
    <x v="5"/>
    <n v="6"/>
    <n v="2070"/>
    <n v="2760"/>
    <n v="690"/>
  </r>
  <r>
    <s v="Richard Moore"/>
    <x v="2"/>
    <s v="Children's Book"/>
    <d v="2025-03-02T00:00:00"/>
    <d v="2025-03-09T00:00:00"/>
    <n v="9"/>
    <n v="616"/>
    <x v="1"/>
    <x v="1"/>
    <x v="3"/>
    <x v="1"/>
    <x v="10"/>
    <x v="2"/>
    <n v="7"/>
    <n v="3326"/>
    <n v="5544"/>
    <n v="2218"/>
  </r>
  <r>
    <s v="Richard Rodriguez"/>
    <x v="2"/>
    <s v="Fiction"/>
    <d v="2024-01-26T00:00:00"/>
    <d v="2024-02-07T00:00:00"/>
    <n v="9"/>
    <n v="866"/>
    <x v="0"/>
    <x v="4"/>
    <x v="0"/>
    <x v="0"/>
    <x v="6"/>
    <x v="6"/>
    <n v="12"/>
    <n v="3897"/>
    <n v="7794"/>
    <n v="3897"/>
  </r>
  <r>
    <s v="Richard Rodriguez"/>
    <x v="0"/>
    <s v="Curtains"/>
    <d v="2025-01-05T00:00:00"/>
    <d v="2025-01-06T00:00:00"/>
    <n v="4"/>
    <n v="212"/>
    <x v="0"/>
    <x v="0"/>
    <x v="2"/>
    <x v="1"/>
    <x v="6"/>
    <x v="2"/>
    <n v="1"/>
    <n v="551"/>
    <n v="848"/>
    <n v="297"/>
  </r>
  <r>
    <s v="Richard Smith"/>
    <x v="2"/>
    <s v="Biography"/>
    <d v="2024-08-30T00:00:00"/>
    <d v="2024-09-12T00:00:00"/>
    <n v="9"/>
    <n v="553"/>
    <x v="1"/>
    <x v="6"/>
    <x v="3"/>
    <x v="0"/>
    <x v="0"/>
    <x v="6"/>
    <n v="13"/>
    <n v="2737"/>
    <n v="4977"/>
    <n v="2240"/>
  </r>
  <r>
    <s v="Robert Jackson"/>
    <x v="3"/>
    <s v="Jeans"/>
    <d v="2024-03-11T00:00:00"/>
    <d v="2024-03-16T00:00:00"/>
    <n v="3"/>
    <n v="89"/>
    <x v="1"/>
    <x v="6"/>
    <x v="3"/>
    <x v="0"/>
    <x v="10"/>
    <x v="3"/>
    <n v="5"/>
    <n v="187"/>
    <n v="267"/>
    <n v="80"/>
  </r>
  <r>
    <s v="Robert Medina"/>
    <x v="3"/>
    <s v="T-Shirt"/>
    <d v="2025-07-01T00:00:00"/>
    <d v="2025-07-07T00:00:00"/>
    <n v="7"/>
    <n v="195"/>
    <x v="0"/>
    <x v="2"/>
    <x v="3"/>
    <x v="1"/>
    <x v="7"/>
    <x v="4"/>
    <n v="6"/>
    <n v="887"/>
    <n v="1365"/>
    <n v="478"/>
  </r>
  <r>
    <s v="Robert Mendoza"/>
    <x v="1"/>
    <s v="Headphones"/>
    <d v="2025-02-16T00:00:00"/>
    <d v="2025-02-20T00:00:00"/>
    <n v="5"/>
    <n v="314"/>
    <x v="0"/>
    <x v="2"/>
    <x v="0"/>
    <x v="1"/>
    <x v="11"/>
    <x v="2"/>
    <n v="4"/>
    <n v="1021"/>
    <n v="1570"/>
    <n v="549"/>
  </r>
  <r>
    <s v="Robert Velez"/>
    <x v="1"/>
    <s v="Laptop"/>
    <d v="2024-04-17T00:00:00"/>
    <d v="2024-04-24T00:00:00"/>
    <n v="10"/>
    <n v="715"/>
    <x v="1"/>
    <x v="6"/>
    <x v="0"/>
    <x v="0"/>
    <x v="5"/>
    <x v="0"/>
    <n v="7"/>
    <n v="6078"/>
    <n v="7150"/>
    <n v="1072"/>
  </r>
  <r>
    <s v="Robert White"/>
    <x v="4"/>
    <s v="Milk"/>
    <d v="2024-07-12T00:00:00"/>
    <d v="2024-07-25T00:00:00"/>
    <n v="9"/>
    <n v="497"/>
    <x v="1"/>
    <x v="4"/>
    <x v="3"/>
    <x v="0"/>
    <x v="7"/>
    <x v="6"/>
    <n v="13"/>
    <n v="2237"/>
    <n v="4473"/>
    <n v="2236"/>
  </r>
  <r>
    <s v="Robert Woods"/>
    <x v="4"/>
    <s v="Cereal"/>
    <d v="2025-12-17T00:00:00"/>
    <d v="2025-12-23T00:00:00"/>
    <n v="9"/>
    <n v="891"/>
    <x v="1"/>
    <x v="0"/>
    <x v="0"/>
    <x v="1"/>
    <x v="8"/>
    <x v="0"/>
    <n v="6"/>
    <n v="4410"/>
    <n v="8019"/>
    <n v="3609"/>
  </r>
  <r>
    <s v="Rodney Norris"/>
    <x v="3"/>
    <s v="T-Shirt"/>
    <d v="2024-01-07T00:00:00"/>
    <d v="2024-01-12T00:00:00"/>
    <n v="1"/>
    <n v="860"/>
    <x v="0"/>
    <x v="1"/>
    <x v="1"/>
    <x v="0"/>
    <x v="6"/>
    <x v="2"/>
    <n v="5"/>
    <n v="559"/>
    <n v="860"/>
    <n v="301"/>
  </r>
  <r>
    <s v="Roger Duncan"/>
    <x v="2"/>
    <s v="Fiction"/>
    <d v="2025-03-04T00:00:00"/>
    <d v="2025-03-05T00:00:00"/>
    <n v="4"/>
    <n v="587"/>
    <x v="0"/>
    <x v="6"/>
    <x v="3"/>
    <x v="1"/>
    <x v="10"/>
    <x v="4"/>
    <n v="1"/>
    <n v="1174"/>
    <n v="2348"/>
    <n v="1174"/>
  </r>
  <r>
    <s v="Ronald Johns"/>
    <x v="2"/>
    <s v="Cookbook"/>
    <d v="2024-11-22T00:00:00"/>
    <d v="2024-12-05T00:00:00"/>
    <n v="2"/>
    <n v="121"/>
    <x v="1"/>
    <x v="1"/>
    <x v="3"/>
    <x v="0"/>
    <x v="3"/>
    <x v="6"/>
    <n v="13"/>
    <n v="157"/>
    <n v="242"/>
    <n v="85"/>
  </r>
  <r>
    <s v="Ronda miles"/>
    <x v="2"/>
    <s v="Children's Book"/>
    <d v="2024-03-09T00:00:00"/>
    <d v="2024-03-12T00:00:00"/>
    <n v="1"/>
    <n v="10"/>
    <x v="0"/>
    <x v="1"/>
    <x v="3"/>
    <x v="0"/>
    <x v="10"/>
    <x v="5"/>
    <n v="3"/>
    <n v="6"/>
    <n v="10"/>
    <n v="4"/>
  </r>
  <r>
    <s v="Ruben Dunn"/>
    <x v="0"/>
    <s v="Curtains"/>
    <d v="2025-02-04T00:00:00"/>
    <d v="2025-02-19T00:00:00"/>
    <n v="2"/>
    <n v="530"/>
    <x v="1"/>
    <x v="4"/>
    <x v="3"/>
    <x v="1"/>
    <x v="11"/>
    <x v="4"/>
    <n v="15"/>
    <n v="689"/>
    <n v="1060"/>
    <n v="371"/>
  </r>
  <r>
    <s v="Ryan Garrison"/>
    <x v="4"/>
    <s v="Juice"/>
    <d v="2025-02-19T00:00:00"/>
    <d v="2025-02-25T00:00:00"/>
    <n v="7"/>
    <n v="471"/>
    <x v="1"/>
    <x v="4"/>
    <x v="3"/>
    <x v="1"/>
    <x v="11"/>
    <x v="0"/>
    <n v="6"/>
    <n v="1813"/>
    <n v="3297"/>
    <n v="1484"/>
  </r>
  <r>
    <s v="Ryan Pope"/>
    <x v="0"/>
    <s v="Curtains"/>
    <d v="2024-12-16T00:00:00"/>
    <d v="2024-12-20T00:00:00"/>
    <n v="8"/>
    <n v="722"/>
    <x v="0"/>
    <x v="0"/>
    <x v="3"/>
    <x v="0"/>
    <x v="8"/>
    <x v="3"/>
    <n v="4"/>
    <n v="3754"/>
    <n v="5776"/>
    <n v="2022"/>
  </r>
  <r>
    <s v="Samantha Davis"/>
    <x v="4"/>
    <s v="Juice"/>
    <d v="2025-10-06T00:00:00"/>
    <d v="2025-10-11T00:00:00"/>
    <n v="6"/>
    <n v="564"/>
    <x v="0"/>
    <x v="4"/>
    <x v="1"/>
    <x v="1"/>
    <x v="4"/>
    <x v="3"/>
    <n v="5"/>
    <n v="1861"/>
    <n v="3384"/>
    <n v="1523"/>
  </r>
  <r>
    <s v="Samantha Gardner"/>
    <x v="4"/>
    <s v="Pasta"/>
    <d v="2024-04-12T00:00:00"/>
    <d v="2024-04-21T00:00:00"/>
    <n v="3"/>
    <n v="815"/>
    <x v="1"/>
    <x v="2"/>
    <x v="0"/>
    <x v="0"/>
    <x v="5"/>
    <x v="6"/>
    <n v="9"/>
    <n v="1467"/>
    <n v="2445"/>
    <n v="978"/>
  </r>
  <r>
    <s v="Samantha Green"/>
    <x v="3"/>
    <s v="Jacket"/>
    <d v="2024-07-06T00:00:00"/>
    <d v="2024-07-16T00:00:00"/>
    <n v="7"/>
    <n v="384"/>
    <x v="0"/>
    <x v="4"/>
    <x v="2"/>
    <x v="0"/>
    <x v="7"/>
    <x v="5"/>
    <n v="10"/>
    <n v="2150"/>
    <n v="2688"/>
    <n v="538"/>
  </r>
  <r>
    <s v="Samantha Morse"/>
    <x v="3"/>
    <s v="Sneakers"/>
    <d v="2024-08-18T00:00:00"/>
    <d v="2024-08-28T00:00:00"/>
    <n v="5"/>
    <n v="779"/>
    <x v="1"/>
    <x v="4"/>
    <x v="0"/>
    <x v="0"/>
    <x v="0"/>
    <x v="2"/>
    <n v="10"/>
    <n v="2921"/>
    <n v="3895"/>
    <n v="974"/>
  </r>
  <r>
    <s v="Samantha Morse"/>
    <x v="4"/>
    <s v="Cereal"/>
    <d v="2025-12-06T00:00:00"/>
    <d v="2025-12-07T00:00:00"/>
    <n v="2"/>
    <n v="443"/>
    <x v="0"/>
    <x v="6"/>
    <x v="3"/>
    <x v="1"/>
    <x v="8"/>
    <x v="5"/>
    <n v="1"/>
    <n v="487"/>
    <n v="886"/>
    <n v="399"/>
  </r>
  <r>
    <s v="Samantha Simpson"/>
    <x v="3"/>
    <s v="Sneakers"/>
    <d v="2025-06-28T00:00:00"/>
    <d v="2025-07-04T00:00:00"/>
    <n v="1"/>
    <n v="187"/>
    <x v="1"/>
    <x v="4"/>
    <x v="1"/>
    <x v="1"/>
    <x v="2"/>
    <x v="5"/>
    <n v="6"/>
    <n v="140"/>
    <n v="187"/>
    <n v="47"/>
  </r>
  <r>
    <s v="Samuel Rivas"/>
    <x v="1"/>
    <s v="Headphones"/>
    <d v="2024-01-01T00:00:00"/>
    <d v="2024-01-15T00:00:00"/>
    <n v="9"/>
    <n v="957"/>
    <x v="1"/>
    <x v="1"/>
    <x v="3"/>
    <x v="0"/>
    <x v="6"/>
    <x v="3"/>
    <n v="14"/>
    <n v="5598"/>
    <n v="8613"/>
    <n v="3015"/>
  </r>
  <r>
    <s v="Samuel Rivas"/>
    <x v="2"/>
    <s v="Non-Fiction"/>
    <d v="2025-12-04T00:00:00"/>
    <d v="2025-12-10T00:00:00"/>
    <n v="5"/>
    <n v="858"/>
    <x v="0"/>
    <x v="1"/>
    <x v="3"/>
    <x v="1"/>
    <x v="8"/>
    <x v="1"/>
    <n v="6"/>
    <n v="2145"/>
    <n v="4290"/>
    <n v="2145"/>
  </r>
  <r>
    <s v="Sandra Martinez"/>
    <x v="1"/>
    <s v="Headphones"/>
    <d v="2024-07-05T00:00:00"/>
    <d v="2024-07-18T00:00:00"/>
    <n v="7"/>
    <n v="952"/>
    <x v="0"/>
    <x v="5"/>
    <x v="2"/>
    <x v="0"/>
    <x v="7"/>
    <x v="6"/>
    <n v="13"/>
    <n v="4332"/>
    <n v="6664"/>
    <n v="2332"/>
  </r>
  <r>
    <s v="Sara Hernandez"/>
    <x v="0"/>
    <s v="Table Lamp"/>
    <d v="2024-11-23T00:00:00"/>
    <d v="2024-11-29T00:00:00"/>
    <n v="5"/>
    <n v="386"/>
    <x v="0"/>
    <x v="2"/>
    <x v="3"/>
    <x v="0"/>
    <x v="3"/>
    <x v="5"/>
    <n v="6"/>
    <n v="1448"/>
    <n v="1930"/>
    <n v="482"/>
  </r>
  <r>
    <s v="Sara Ramirez"/>
    <x v="0"/>
    <s v="Table Lamp"/>
    <d v="2024-02-24T00:00:00"/>
    <d v="2024-02-29T00:00:00"/>
    <n v="9"/>
    <n v="169"/>
    <x v="1"/>
    <x v="6"/>
    <x v="0"/>
    <x v="0"/>
    <x v="11"/>
    <x v="5"/>
    <n v="5"/>
    <n v="1141"/>
    <n v="1521"/>
    <n v="380"/>
  </r>
  <r>
    <s v="Sara Ramirez"/>
    <x v="0"/>
    <s v="Curtains"/>
    <d v="2025-01-21T00:00:00"/>
    <d v="2025-02-04T00:00:00"/>
    <n v="8"/>
    <n v="849"/>
    <x v="1"/>
    <x v="4"/>
    <x v="1"/>
    <x v="1"/>
    <x v="6"/>
    <x v="4"/>
    <n v="14"/>
    <n v="4415"/>
    <n v="6792"/>
    <n v="2377"/>
  </r>
  <r>
    <s v="Sarah Cooper"/>
    <x v="2"/>
    <s v="Cookbook"/>
    <d v="2024-01-29T00:00:00"/>
    <d v="2024-02-02T00:00:00"/>
    <n v="5"/>
    <n v="692"/>
    <x v="0"/>
    <x v="3"/>
    <x v="1"/>
    <x v="0"/>
    <x v="6"/>
    <x v="3"/>
    <n v="4"/>
    <n v="2249"/>
    <n v="3460"/>
    <n v="1211"/>
  </r>
  <r>
    <s v="Sarah Davis"/>
    <x v="4"/>
    <s v="Cereal"/>
    <d v="2025-11-27T00:00:00"/>
    <d v="2025-12-06T00:00:00"/>
    <n v="7"/>
    <n v="579"/>
    <x v="0"/>
    <x v="4"/>
    <x v="3"/>
    <x v="1"/>
    <x v="3"/>
    <x v="1"/>
    <n v="9"/>
    <n v="2229"/>
    <n v="4053"/>
    <n v="1824"/>
  </r>
  <r>
    <s v="Sarah Drake"/>
    <x v="0"/>
    <s v="Wall Art"/>
    <d v="2024-11-12T00:00:00"/>
    <d v="2024-11-24T00:00:00"/>
    <n v="3"/>
    <n v="843"/>
    <x v="1"/>
    <x v="3"/>
    <x v="1"/>
    <x v="0"/>
    <x v="3"/>
    <x v="4"/>
    <n v="12"/>
    <n v="1770"/>
    <n v="2529"/>
    <n v="759"/>
  </r>
  <r>
    <s v="Sarah Pittman"/>
    <x v="1"/>
    <s v="Camera"/>
    <d v="2024-04-07T00:00:00"/>
    <d v="2024-04-19T00:00:00"/>
    <n v="1"/>
    <n v="284"/>
    <x v="1"/>
    <x v="0"/>
    <x v="2"/>
    <x v="0"/>
    <x v="5"/>
    <x v="2"/>
    <n v="12"/>
    <n v="227"/>
    <n v="284"/>
    <n v="57"/>
  </r>
  <r>
    <s v="Sarah Valencia"/>
    <x v="1"/>
    <s v="Headphones"/>
    <d v="2024-09-10T00:00:00"/>
    <d v="2024-09-21T00:00:00"/>
    <n v="3"/>
    <n v="969"/>
    <x v="0"/>
    <x v="2"/>
    <x v="0"/>
    <x v="0"/>
    <x v="9"/>
    <x v="4"/>
    <n v="11"/>
    <n v="1890"/>
    <n v="2907"/>
    <n v="1017"/>
  </r>
  <r>
    <s v="Sarah Villarreal"/>
    <x v="0"/>
    <s v="Table Lamp"/>
    <d v="2024-10-23T00:00:00"/>
    <d v="2024-11-04T00:00:00"/>
    <n v="1"/>
    <n v="961"/>
    <x v="1"/>
    <x v="6"/>
    <x v="2"/>
    <x v="0"/>
    <x v="4"/>
    <x v="0"/>
    <n v="12"/>
    <n v="721"/>
    <n v="961"/>
    <n v="240"/>
  </r>
  <r>
    <s v="Sarah Ward"/>
    <x v="0"/>
    <s v="Wall Art"/>
    <d v="2024-02-10T00:00:00"/>
    <d v="2024-02-23T00:00:00"/>
    <n v="6"/>
    <n v="992"/>
    <x v="1"/>
    <x v="0"/>
    <x v="2"/>
    <x v="0"/>
    <x v="11"/>
    <x v="5"/>
    <n v="13"/>
    <n v="4166"/>
    <n v="5952"/>
    <n v="1786"/>
  </r>
  <r>
    <s v="Scott Alexander"/>
    <x v="2"/>
    <s v="Children's Book"/>
    <d v="2024-04-05T00:00:00"/>
    <d v="2024-04-14T00:00:00"/>
    <n v="2"/>
    <n v="546"/>
    <x v="1"/>
    <x v="6"/>
    <x v="0"/>
    <x v="0"/>
    <x v="5"/>
    <x v="6"/>
    <n v="9"/>
    <n v="655"/>
    <n v="1092"/>
    <n v="437"/>
  </r>
  <r>
    <s v="Scott Wilson"/>
    <x v="3"/>
    <s v="Jacket"/>
    <d v="2025-12-16T00:00:00"/>
    <d v="2025-12-27T00:00:00"/>
    <n v="1"/>
    <n v="130"/>
    <x v="1"/>
    <x v="4"/>
    <x v="2"/>
    <x v="1"/>
    <x v="8"/>
    <x v="4"/>
    <n v="11"/>
    <n v="104"/>
    <n v="130"/>
    <n v="26"/>
  </r>
  <r>
    <s v="sehgal"/>
    <x v="2"/>
    <s v="Biography"/>
    <d v="2024-03-15T00:00:00"/>
    <d v="2024-03-19T00:00:00"/>
    <n v="1"/>
    <n v="90"/>
    <x v="0"/>
    <x v="4"/>
    <x v="3"/>
    <x v="0"/>
    <x v="10"/>
    <x v="6"/>
    <n v="4"/>
    <n v="50"/>
    <n v="90"/>
    <n v="40"/>
  </r>
  <r>
    <s v="Shannon Smith"/>
    <x v="4"/>
    <s v="Milk"/>
    <d v="2024-05-18T00:00:00"/>
    <d v="2024-05-22T00:00:00"/>
    <n v="9"/>
    <n v="234"/>
    <x v="0"/>
    <x v="2"/>
    <x v="1"/>
    <x v="0"/>
    <x v="1"/>
    <x v="5"/>
    <n v="4"/>
    <n v="1053"/>
    <n v="2106"/>
    <n v="1053"/>
  </r>
  <r>
    <s v="shanon hoe"/>
    <x v="3"/>
    <s v="Curtains"/>
    <d v="2024-07-12T00:00:00"/>
    <d v="2024-07-13T00:00:00"/>
    <n v="1"/>
    <n v="50"/>
    <x v="0"/>
    <x v="4"/>
    <x v="0"/>
    <x v="0"/>
    <x v="7"/>
    <x v="6"/>
    <n v="1"/>
    <n v="33"/>
    <n v="50"/>
    <n v="17"/>
  </r>
  <r>
    <s v="Shawn Collins"/>
    <x v="4"/>
    <s v="Cereal"/>
    <d v="2024-03-19T00:00:00"/>
    <d v="2024-04-08T00:00:00"/>
    <n v="4"/>
    <n v="347"/>
    <x v="1"/>
    <x v="4"/>
    <x v="1"/>
    <x v="0"/>
    <x v="10"/>
    <x v="4"/>
    <n v="20"/>
    <n v="763"/>
    <n v="1388"/>
    <n v="625"/>
  </r>
  <r>
    <s v="Shawn Jimenez"/>
    <x v="2"/>
    <s v="Fiction"/>
    <d v="2024-12-03T00:00:00"/>
    <d v="2024-12-07T00:00:00"/>
    <n v="9"/>
    <n v="318"/>
    <x v="0"/>
    <x v="0"/>
    <x v="1"/>
    <x v="0"/>
    <x v="8"/>
    <x v="4"/>
    <n v="4"/>
    <n v="1431"/>
    <n v="2862"/>
    <n v="1431"/>
  </r>
  <r>
    <s v="Sheila Barnes"/>
    <x v="1"/>
    <s v="Smartphone"/>
    <d v="2025-01-21T00:00:00"/>
    <d v="2025-02-05T00:00:00"/>
    <n v="1"/>
    <n v="102"/>
    <x v="1"/>
    <x v="4"/>
    <x v="1"/>
    <x v="1"/>
    <x v="6"/>
    <x v="4"/>
    <n v="15"/>
    <n v="77"/>
    <n v="102"/>
    <n v="25"/>
  </r>
  <r>
    <s v="Sherry Schmidt"/>
    <x v="2"/>
    <s v="Biography"/>
    <d v="2025-09-12T00:00:00"/>
    <d v="2025-09-14T00:00:00"/>
    <n v="6"/>
    <n v="806"/>
    <x v="0"/>
    <x v="2"/>
    <x v="2"/>
    <x v="1"/>
    <x v="9"/>
    <x v="6"/>
    <n v="2"/>
    <n v="2660"/>
    <n v="4836"/>
    <n v="2176"/>
  </r>
  <r>
    <s v="Sierra Williams"/>
    <x v="1"/>
    <s v="Laptop"/>
    <d v="2024-07-10T00:00:00"/>
    <d v="2024-07-14T00:00:00"/>
    <n v="3"/>
    <n v="533"/>
    <x v="1"/>
    <x v="0"/>
    <x v="1"/>
    <x v="0"/>
    <x v="7"/>
    <x v="0"/>
    <n v="4"/>
    <n v="1359"/>
    <n v="1599"/>
    <n v="240"/>
  </r>
  <r>
    <s v="Sonia Day"/>
    <x v="4"/>
    <s v="Juice"/>
    <d v="2025-06-02T00:00:00"/>
    <d v="2025-06-09T00:00:00"/>
    <n v="6"/>
    <n v="974"/>
    <x v="0"/>
    <x v="1"/>
    <x v="1"/>
    <x v="1"/>
    <x v="2"/>
    <x v="3"/>
    <n v="7"/>
    <n v="3214"/>
    <n v="5844"/>
    <n v="2630"/>
  </r>
  <r>
    <s v="Stacy Carrillo"/>
    <x v="4"/>
    <s v="Cereal"/>
    <d v="2024-02-28T00:00:00"/>
    <d v="2024-03-05T00:00:00"/>
    <n v="7"/>
    <n v="31"/>
    <x v="1"/>
    <x v="6"/>
    <x v="1"/>
    <x v="0"/>
    <x v="11"/>
    <x v="0"/>
    <n v="6"/>
    <n v="119"/>
    <n v="217"/>
    <n v="98"/>
  </r>
  <r>
    <s v="Stephanie Ferguson"/>
    <x v="4"/>
    <s v="Juice"/>
    <d v="2025-03-12T00:00:00"/>
    <d v="2025-03-16T00:00:00"/>
    <n v="3"/>
    <n v="154"/>
    <x v="1"/>
    <x v="0"/>
    <x v="0"/>
    <x v="1"/>
    <x v="10"/>
    <x v="0"/>
    <n v="4"/>
    <n v="254"/>
    <n v="462"/>
    <n v="208"/>
  </r>
  <r>
    <s v="Stephanie Freeman"/>
    <x v="1"/>
    <s v="Smartphone"/>
    <d v="2024-12-19T00:00:00"/>
    <d v="2024-12-25T00:00:00"/>
    <n v="3"/>
    <n v="568"/>
    <x v="1"/>
    <x v="4"/>
    <x v="3"/>
    <x v="0"/>
    <x v="8"/>
    <x v="1"/>
    <n v="6"/>
    <n v="1278"/>
    <n v="1704"/>
    <n v="426"/>
  </r>
  <r>
    <s v="Stephanie Freeman"/>
    <x v="4"/>
    <s v="Cereal"/>
    <d v="2025-06-14T00:00:00"/>
    <d v="2025-06-28T00:00:00"/>
    <n v="6"/>
    <n v="218"/>
    <x v="1"/>
    <x v="2"/>
    <x v="2"/>
    <x v="1"/>
    <x v="2"/>
    <x v="5"/>
    <n v="14"/>
    <n v="719"/>
    <n v="1308"/>
    <n v="589"/>
  </r>
  <r>
    <s v="Stephanie Gilbert"/>
    <x v="1"/>
    <s v="Camera"/>
    <d v="2024-05-06T00:00:00"/>
    <d v="2024-05-19T00:00:00"/>
    <n v="10"/>
    <n v="618"/>
    <x v="0"/>
    <x v="4"/>
    <x v="3"/>
    <x v="0"/>
    <x v="1"/>
    <x v="3"/>
    <n v="13"/>
    <n v="4944"/>
    <n v="6180"/>
    <n v="1236"/>
  </r>
  <r>
    <s v="Stephanie Gilbert"/>
    <x v="2"/>
    <s v="Fiction"/>
    <d v="2025-10-06T00:00:00"/>
    <d v="2025-10-10T00:00:00"/>
    <n v="3"/>
    <n v="908"/>
    <x v="1"/>
    <x v="6"/>
    <x v="2"/>
    <x v="1"/>
    <x v="4"/>
    <x v="3"/>
    <n v="4"/>
    <n v="1362"/>
    <n v="2724"/>
    <n v="1362"/>
  </r>
  <r>
    <s v="Stephanie Hughes"/>
    <x v="2"/>
    <s v="Biography"/>
    <d v="2024-03-08T00:00:00"/>
    <d v="2024-03-18T00:00:00"/>
    <n v="2"/>
    <n v="941"/>
    <x v="1"/>
    <x v="6"/>
    <x v="0"/>
    <x v="0"/>
    <x v="10"/>
    <x v="6"/>
    <n v="10"/>
    <n v="1035"/>
    <n v="1882"/>
    <n v="847"/>
  </r>
  <r>
    <s v="Stephanie Lee"/>
    <x v="1"/>
    <s v="Camera"/>
    <d v="2024-10-04T00:00:00"/>
    <d v="2024-10-07T00:00:00"/>
    <n v="1"/>
    <n v="775"/>
    <x v="0"/>
    <x v="6"/>
    <x v="1"/>
    <x v="0"/>
    <x v="4"/>
    <x v="6"/>
    <n v="3"/>
    <n v="620"/>
    <n v="775"/>
    <n v="155"/>
  </r>
  <r>
    <s v="Stephanie Lee"/>
    <x v="3"/>
    <s v="Jeans"/>
    <d v="2025-09-15T00:00:00"/>
    <d v="2025-09-18T00:00:00"/>
    <n v="8"/>
    <n v="656"/>
    <x v="0"/>
    <x v="4"/>
    <x v="3"/>
    <x v="1"/>
    <x v="9"/>
    <x v="3"/>
    <n v="3"/>
    <n v="3674"/>
    <n v="5248"/>
    <n v="1574"/>
  </r>
  <r>
    <s v="Stephen Gardner"/>
    <x v="0"/>
    <s v="Curtains"/>
    <d v="2024-11-01T00:00:00"/>
    <d v="2024-11-09T00:00:00"/>
    <n v="1"/>
    <n v="293"/>
    <x v="0"/>
    <x v="1"/>
    <x v="0"/>
    <x v="0"/>
    <x v="3"/>
    <x v="6"/>
    <n v="8"/>
    <n v="190"/>
    <n v="293"/>
    <n v="103"/>
  </r>
  <r>
    <s v="Steve Mason"/>
    <x v="1"/>
    <s v="Headphones"/>
    <d v="2024-05-04T00:00:00"/>
    <d v="2024-05-17T00:00:00"/>
    <n v="10"/>
    <n v="730"/>
    <x v="0"/>
    <x v="4"/>
    <x v="2"/>
    <x v="0"/>
    <x v="1"/>
    <x v="5"/>
    <n v="13"/>
    <n v="4745"/>
    <n v="7300"/>
    <n v="2555"/>
  </r>
  <r>
    <s v="Steve Rivera"/>
    <x v="0"/>
    <s v="Table Lamp"/>
    <d v="2024-04-01T00:00:00"/>
    <d v="2024-04-12T00:00:00"/>
    <n v="9"/>
    <n v="412"/>
    <x v="1"/>
    <x v="2"/>
    <x v="1"/>
    <x v="0"/>
    <x v="5"/>
    <x v="3"/>
    <n v="11"/>
    <n v="2781"/>
    <n v="3708"/>
    <n v="927"/>
  </r>
  <r>
    <s v="Steven Baker"/>
    <x v="2"/>
    <s v="Children's Book"/>
    <d v="2024-10-02T00:00:00"/>
    <d v="2024-10-09T00:00:00"/>
    <n v="4"/>
    <n v="790"/>
    <x v="0"/>
    <x v="4"/>
    <x v="1"/>
    <x v="0"/>
    <x v="4"/>
    <x v="0"/>
    <n v="7"/>
    <n v="1896"/>
    <n v="3160"/>
    <n v="1264"/>
  </r>
  <r>
    <s v="Steven Griffin Jr."/>
    <x v="0"/>
    <s v="Curtains"/>
    <d v="2024-06-19T00:00:00"/>
    <d v="2024-06-26T00:00:00"/>
    <n v="3"/>
    <n v="88"/>
    <x v="1"/>
    <x v="2"/>
    <x v="2"/>
    <x v="0"/>
    <x v="2"/>
    <x v="0"/>
    <n v="7"/>
    <n v="172"/>
    <n v="264"/>
    <n v="92"/>
  </r>
  <r>
    <s v="Steven Martin"/>
    <x v="2"/>
    <s v="Non-Fiction"/>
    <d v="2024-03-28T00:00:00"/>
    <d v="2024-04-08T00:00:00"/>
    <n v="10"/>
    <n v="747"/>
    <x v="1"/>
    <x v="2"/>
    <x v="0"/>
    <x v="0"/>
    <x v="10"/>
    <x v="1"/>
    <n v="11"/>
    <n v="3735"/>
    <n v="7470"/>
    <n v="3735"/>
  </r>
  <r>
    <s v="Susan Rivas"/>
    <x v="3"/>
    <s v="Jacket"/>
    <d v="2025-02-22T00:00:00"/>
    <d v="2025-02-24T00:00:00"/>
    <n v="8"/>
    <n v="405"/>
    <x v="0"/>
    <x v="6"/>
    <x v="1"/>
    <x v="1"/>
    <x v="11"/>
    <x v="5"/>
    <n v="2"/>
    <n v="2592"/>
    <n v="3240"/>
    <n v="648"/>
  </r>
  <r>
    <s v="Susan Rodriguez"/>
    <x v="0"/>
    <s v="Table Lamp"/>
    <d v="2025-08-12T00:00:00"/>
    <d v="2025-08-13T00:00:00"/>
    <n v="8"/>
    <n v="177"/>
    <x v="0"/>
    <x v="4"/>
    <x v="2"/>
    <x v="1"/>
    <x v="0"/>
    <x v="4"/>
    <n v="1"/>
    <n v="1062"/>
    <n v="1416"/>
    <n v="354"/>
  </r>
  <r>
    <s v="Sydney White"/>
    <x v="2"/>
    <s v="Biography"/>
    <d v="2025-04-13T00:00:00"/>
    <d v="2025-04-17T00:00:00"/>
    <n v="1"/>
    <n v="62"/>
    <x v="1"/>
    <x v="2"/>
    <x v="2"/>
    <x v="1"/>
    <x v="5"/>
    <x v="2"/>
    <n v="4"/>
    <n v="34"/>
    <n v="62"/>
    <n v="28"/>
  </r>
  <r>
    <s v="Tamara Hall"/>
    <x v="0"/>
    <s v="Table Lamp"/>
    <d v="2024-11-24T00:00:00"/>
    <d v="2024-12-02T00:00:00"/>
    <n v="8"/>
    <n v="905"/>
    <x v="0"/>
    <x v="6"/>
    <x v="3"/>
    <x v="0"/>
    <x v="3"/>
    <x v="2"/>
    <n v="8"/>
    <n v="5430"/>
    <n v="7240"/>
    <n v="1810"/>
  </r>
  <r>
    <s v="Tammy Allison"/>
    <x v="3"/>
    <s v="Jeans"/>
    <d v="2024-07-10T00:00:00"/>
    <d v="2024-07-19T00:00:00"/>
    <n v="3"/>
    <n v="562"/>
    <x v="0"/>
    <x v="1"/>
    <x v="3"/>
    <x v="0"/>
    <x v="7"/>
    <x v="0"/>
    <n v="9"/>
    <n v="1180"/>
    <n v="1686"/>
    <n v="506"/>
  </r>
  <r>
    <s v="Tammy Allison"/>
    <x v="2"/>
    <s v="Children's Book"/>
    <d v="2025-10-26T00:00:00"/>
    <d v="2025-11-01T00:00:00"/>
    <n v="6"/>
    <n v="894"/>
    <x v="1"/>
    <x v="2"/>
    <x v="2"/>
    <x v="1"/>
    <x v="4"/>
    <x v="2"/>
    <n v="6"/>
    <n v="3218"/>
    <n v="5364"/>
    <n v="2146"/>
  </r>
  <r>
    <s v="Tammy Anderson"/>
    <x v="2"/>
    <s v="Children's Book"/>
    <d v="2025-05-02T00:00:00"/>
    <d v="2025-05-12T00:00:00"/>
    <n v="4"/>
    <n v="872"/>
    <x v="0"/>
    <x v="0"/>
    <x v="0"/>
    <x v="1"/>
    <x v="1"/>
    <x v="6"/>
    <n v="10"/>
    <n v="2093"/>
    <n v="3488"/>
    <n v="1395"/>
  </r>
  <r>
    <s v="Tammy Sellers"/>
    <x v="0"/>
    <s v="Curtains"/>
    <d v="2024-12-01T00:00:00"/>
    <d v="2024-12-10T00:00:00"/>
    <n v="8"/>
    <n v="415"/>
    <x v="0"/>
    <x v="2"/>
    <x v="0"/>
    <x v="0"/>
    <x v="8"/>
    <x v="2"/>
    <n v="9"/>
    <n v="2158"/>
    <n v="3320"/>
    <n v="1162"/>
  </r>
  <r>
    <s v="Tammy Sellers"/>
    <x v="4"/>
    <s v="Cereal"/>
    <d v="2025-11-27T00:00:00"/>
    <d v="2025-12-03T00:00:00"/>
    <n v="7"/>
    <n v="444"/>
    <x v="1"/>
    <x v="1"/>
    <x v="3"/>
    <x v="1"/>
    <x v="3"/>
    <x v="1"/>
    <n v="6"/>
    <n v="1709"/>
    <n v="3108"/>
    <n v="1399"/>
  </r>
  <r>
    <s v="Tanner Mitchell DDS"/>
    <x v="2"/>
    <s v="Non-Fiction"/>
    <d v="2025-06-26T00:00:00"/>
    <d v="2025-07-04T00:00:00"/>
    <n v="7"/>
    <n v="569"/>
    <x v="0"/>
    <x v="0"/>
    <x v="3"/>
    <x v="1"/>
    <x v="2"/>
    <x v="1"/>
    <n v="8"/>
    <n v="1992"/>
    <n v="3983"/>
    <n v="1991"/>
  </r>
  <r>
    <s v="Tanya Evans"/>
    <x v="1"/>
    <s v="Headphones"/>
    <d v="2025-09-24T00:00:00"/>
    <d v="2025-10-01T00:00:00"/>
    <n v="3"/>
    <n v="565"/>
    <x v="0"/>
    <x v="2"/>
    <x v="2"/>
    <x v="1"/>
    <x v="9"/>
    <x v="0"/>
    <n v="7"/>
    <n v="1102"/>
    <n v="1695"/>
    <n v="593"/>
  </r>
  <r>
    <s v="Tanya Kim"/>
    <x v="3"/>
    <s v="Jacket"/>
    <d v="2024-08-11T00:00:00"/>
    <d v="2024-08-25T00:00:00"/>
    <n v="8"/>
    <n v="39"/>
    <x v="1"/>
    <x v="0"/>
    <x v="1"/>
    <x v="0"/>
    <x v="0"/>
    <x v="2"/>
    <n v="14"/>
    <n v="250"/>
    <n v="312"/>
    <n v="62"/>
  </r>
  <r>
    <s v="Tanya Kim"/>
    <x v="1"/>
    <s v="Smartphone"/>
    <d v="2025-08-27T00:00:00"/>
    <d v="2025-08-28T00:00:00"/>
    <n v="10"/>
    <n v="541"/>
    <x v="0"/>
    <x v="1"/>
    <x v="2"/>
    <x v="1"/>
    <x v="0"/>
    <x v="0"/>
    <n v="1"/>
    <n v="4058"/>
    <n v="5410"/>
    <n v="1352"/>
  </r>
  <r>
    <s v="Taylor Mathis Jr."/>
    <x v="1"/>
    <s v="Smartphone"/>
    <d v="2025-08-13T00:00:00"/>
    <d v="2025-08-18T00:00:00"/>
    <n v="7"/>
    <n v="501"/>
    <x v="1"/>
    <x v="0"/>
    <x v="3"/>
    <x v="1"/>
    <x v="0"/>
    <x v="0"/>
    <n v="5"/>
    <n v="2630"/>
    <n v="3507"/>
    <n v="877"/>
  </r>
  <r>
    <s v="Teresa Adkins"/>
    <x v="1"/>
    <s v="Camera"/>
    <d v="2025-04-16T00:00:00"/>
    <d v="2025-04-20T00:00:00"/>
    <n v="4"/>
    <n v="152"/>
    <x v="1"/>
    <x v="0"/>
    <x v="3"/>
    <x v="1"/>
    <x v="5"/>
    <x v="0"/>
    <n v="4"/>
    <n v="486"/>
    <n v="608"/>
    <n v="122"/>
  </r>
  <r>
    <s v="Teresa Ramirez"/>
    <x v="1"/>
    <s v="Laptop"/>
    <d v="2024-05-31T00:00:00"/>
    <d v="2024-06-14T00:00:00"/>
    <n v="4"/>
    <n v="379"/>
    <x v="0"/>
    <x v="4"/>
    <x v="0"/>
    <x v="0"/>
    <x v="1"/>
    <x v="6"/>
    <n v="14"/>
    <n v="1289"/>
    <n v="1516"/>
    <n v="227"/>
  </r>
  <r>
    <s v="Test"/>
    <x v="2"/>
    <s v="Children's Book"/>
    <d v="2024-03-12T00:00:00"/>
    <d v="2024-03-18T00:00:00"/>
    <n v="1"/>
    <n v="30"/>
    <x v="1"/>
    <x v="6"/>
    <x v="2"/>
    <x v="0"/>
    <x v="10"/>
    <x v="4"/>
    <n v="6"/>
    <n v="18"/>
    <n v="30"/>
    <n v="12"/>
  </r>
  <r>
    <s v="Theresa Hansen"/>
    <x v="0"/>
    <s v="Curtains"/>
    <d v="2025-01-09T00:00:00"/>
    <d v="2025-01-21T00:00:00"/>
    <n v="6"/>
    <n v="323"/>
    <x v="1"/>
    <x v="6"/>
    <x v="2"/>
    <x v="1"/>
    <x v="6"/>
    <x v="1"/>
    <n v="12"/>
    <n v="1260"/>
    <n v="1938"/>
    <n v="678"/>
  </r>
  <r>
    <s v="Thomas Atkins"/>
    <x v="2"/>
    <s v="Fiction"/>
    <d v="2024-12-02T00:00:00"/>
    <d v="2024-12-15T00:00:00"/>
    <n v="9"/>
    <n v="483"/>
    <x v="0"/>
    <x v="0"/>
    <x v="1"/>
    <x v="0"/>
    <x v="8"/>
    <x v="3"/>
    <n v="13"/>
    <n v="2174"/>
    <n v="4347"/>
    <n v="2173"/>
  </r>
  <r>
    <s v="Thomas Miller"/>
    <x v="0"/>
    <s v="Vase"/>
    <d v="2025-03-12T00:00:00"/>
    <d v="2025-03-18T00:00:00"/>
    <n v="7"/>
    <n v="171"/>
    <x v="1"/>
    <x v="1"/>
    <x v="2"/>
    <x v="1"/>
    <x v="10"/>
    <x v="0"/>
    <n v="6"/>
    <n v="898"/>
    <n v="1197"/>
    <n v="299"/>
  </r>
  <r>
    <s v="Thomas Sloan"/>
    <x v="1"/>
    <s v="Headphones"/>
    <d v="2024-05-10T00:00:00"/>
    <d v="2024-05-13T00:00:00"/>
    <n v="1"/>
    <n v="773"/>
    <x v="0"/>
    <x v="4"/>
    <x v="3"/>
    <x v="0"/>
    <x v="1"/>
    <x v="6"/>
    <n v="3"/>
    <n v="502"/>
    <n v="773"/>
    <n v="271"/>
  </r>
  <r>
    <s v="Tiffany Brown"/>
    <x v="1"/>
    <s v="Laptop"/>
    <d v="2024-09-17T00:00:00"/>
    <d v="2024-09-20T00:00:00"/>
    <n v="1"/>
    <n v="55"/>
    <x v="0"/>
    <x v="1"/>
    <x v="3"/>
    <x v="0"/>
    <x v="9"/>
    <x v="4"/>
    <n v="3"/>
    <n v="47"/>
    <n v="55"/>
    <n v="8"/>
  </r>
  <r>
    <s v="Tiffany Robertson"/>
    <x v="2"/>
    <s v="Biography"/>
    <d v="2025-11-09T00:00:00"/>
    <d v="2025-11-20T00:00:00"/>
    <n v="4"/>
    <n v="180"/>
    <x v="1"/>
    <x v="1"/>
    <x v="3"/>
    <x v="1"/>
    <x v="3"/>
    <x v="2"/>
    <n v="11"/>
    <n v="396"/>
    <n v="720"/>
    <n v="324"/>
  </r>
  <r>
    <s v="Tiffany Turner"/>
    <x v="3"/>
    <s v="Jeans"/>
    <d v="2025-02-07T00:00:00"/>
    <d v="2025-02-18T00:00:00"/>
    <n v="5"/>
    <n v="215"/>
    <x v="1"/>
    <x v="2"/>
    <x v="1"/>
    <x v="1"/>
    <x v="11"/>
    <x v="6"/>
    <n v="11"/>
    <n v="753"/>
    <n v="1075"/>
    <n v="322"/>
  </r>
  <r>
    <s v="Timothy Gilbert"/>
    <x v="0"/>
    <s v="Wall Art"/>
    <d v="2025-04-12T00:00:00"/>
    <d v="2025-04-18T00:00:00"/>
    <n v="5"/>
    <n v="608"/>
    <x v="1"/>
    <x v="4"/>
    <x v="3"/>
    <x v="1"/>
    <x v="5"/>
    <x v="5"/>
    <n v="6"/>
    <n v="2128"/>
    <n v="3040"/>
    <n v="912"/>
  </r>
  <r>
    <s v="Timothy Pope"/>
    <x v="3"/>
    <s v="Jacket"/>
    <d v="2024-12-25T00:00:00"/>
    <d v="2025-01-03T00:00:00"/>
    <n v="5"/>
    <n v="953"/>
    <x v="0"/>
    <x v="6"/>
    <x v="2"/>
    <x v="0"/>
    <x v="8"/>
    <x v="0"/>
    <n v="9"/>
    <n v="3812"/>
    <n v="4765"/>
    <n v="953"/>
  </r>
  <r>
    <s v="Tina Ballard"/>
    <x v="3"/>
    <s v="Jeans"/>
    <d v="2024-10-16T00:00:00"/>
    <d v="2024-10-19T00:00:00"/>
    <n v="7"/>
    <n v="81"/>
    <x v="0"/>
    <x v="4"/>
    <x v="1"/>
    <x v="0"/>
    <x v="4"/>
    <x v="0"/>
    <n v="3"/>
    <n v="397"/>
    <n v="567"/>
    <n v="170"/>
  </r>
  <r>
    <s v="Todd Jacobson"/>
    <x v="0"/>
    <s v="Table Lamp"/>
    <d v="2024-07-22T00:00:00"/>
    <d v="2024-07-26T00:00:00"/>
    <n v="5"/>
    <n v="204"/>
    <x v="0"/>
    <x v="4"/>
    <x v="3"/>
    <x v="0"/>
    <x v="7"/>
    <x v="3"/>
    <n v="4"/>
    <n v="765"/>
    <n v="1020"/>
    <n v="255"/>
  </r>
  <r>
    <s v="Traci Camacho"/>
    <x v="4"/>
    <s v="Juice"/>
    <d v="2025-08-09T00:00:00"/>
    <d v="2025-08-13T00:00:00"/>
    <n v="1"/>
    <n v="269"/>
    <x v="0"/>
    <x v="0"/>
    <x v="2"/>
    <x v="1"/>
    <x v="0"/>
    <x v="5"/>
    <n v="4"/>
    <n v="148"/>
    <n v="269"/>
    <n v="121"/>
  </r>
  <r>
    <s v="Traci Garcia"/>
    <x v="3"/>
    <s v="Jeans"/>
    <d v="2025-09-28T00:00:00"/>
    <d v="2025-10-04T00:00:00"/>
    <n v="9"/>
    <n v="733"/>
    <x v="1"/>
    <x v="0"/>
    <x v="0"/>
    <x v="1"/>
    <x v="9"/>
    <x v="2"/>
    <n v="6"/>
    <n v="4618"/>
    <n v="6597"/>
    <n v="1979"/>
  </r>
  <r>
    <s v="Tracy Montoya"/>
    <x v="1"/>
    <s v="Headphones"/>
    <d v="2024-02-20T00:00:00"/>
    <d v="2024-02-24T00:00:00"/>
    <n v="2"/>
    <n v="464"/>
    <x v="0"/>
    <x v="4"/>
    <x v="1"/>
    <x v="0"/>
    <x v="11"/>
    <x v="4"/>
    <n v="4"/>
    <n v="603"/>
    <n v="928"/>
    <n v="325"/>
  </r>
  <r>
    <s v="Travis Wise"/>
    <x v="2"/>
    <s v="Non-Fiction"/>
    <d v="2024-02-05T00:00:00"/>
    <d v="2024-02-13T00:00:00"/>
    <n v="9"/>
    <n v="222"/>
    <x v="0"/>
    <x v="2"/>
    <x v="1"/>
    <x v="0"/>
    <x v="11"/>
    <x v="3"/>
    <n v="8"/>
    <n v="999"/>
    <n v="1998"/>
    <n v="999"/>
  </r>
  <r>
    <s v="Tyler Johnson"/>
    <x v="3"/>
    <s v="Jeans"/>
    <d v="2024-11-04T00:00:00"/>
    <d v="2024-11-16T00:00:00"/>
    <n v="9"/>
    <n v="421"/>
    <x v="0"/>
    <x v="2"/>
    <x v="2"/>
    <x v="0"/>
    <x v="3"/>
    <x v="3"/>
    <n v="12"/>
    <n v="2652"/>
    <n v="3789"/>
    <n v="1137"/>
  </r>
  <r>
    <s v="Tyler Miller"/>
    <x v="2"/>
    <s v="Children's Book"/>
    <d v="2025-05-26T00:00:00"/>
    <d v="2025-06-06T00:00:00"/>
    <n v="7"/>
    <n v="305"/>
    <x v="1"/>
    <x v="2"/>
    <x v="2"/>
    <x v="1"/>
    <x v="1"/>
    <x v="3"/>
    <n v="11"/>
    <n v="1281"/>
    <n v="2135"/>
    <n v="854"/>
  </r>
  <r>
    <s v="Tyler Stevens"/>
    <x v="2"/>
    <s v="Children's Book"/>
    <d v="2025-12-28T00:00:00"/>
    <d v="2025-12-30T00:00:00"/>
    <n v="9"/>
    <n v="455"/>
    <x v="0"/>
    <x v="6"/>
    <x v="0"/>
    <x v="1"/>
    <x v="8"/>
    <x v="2"/>
    <n v="2"/>
    <n v="2457"/>
    <n v="4095"/>
    <n v="1638"/>
  </r>
  <r>
    <s v="Valerie Brown"/>
    <x v="3"/>
    <s v="Sneakers"/>
    <d v="2025-08-26T00:00:00"/>
    <d v="2025-08-27T00:00:00"/>
    <n v="10"/>
    <n v="572"/>
    <x v="0"/>
    <x v="2"/>
    <x v="1"/>
    <x v="1"/>
    <x v="0"/>
    <x v="4"/>
    <n v="1"/>
    <n v="4290"/>
    <n v="5720"/>
    <n v="1430"/>
  </r>
  <r>
    <s v="Vanessa Santiago"/>
    <x v="1"/>
    <s v="Laptop"/>
    <d v="2024-06-10T00:00:00"/>
    <d v="2024-06-19T00:00:00"/>
    <n v="1"/>
    <n v="994"/>
    <x v="0"/>
    <x v="4"/>
    <x v="2"/>
    <x v="0"/>
    <x v="2"/>
    <x v="3"/>
    <n v="9"/>
    <n v="845"/>
    <n v="994"/>
    <n v="149"/>
  </r>
  <r>
    <s v="Veronica Parks"/>
    <x v="0"/>
    <s v="Table Lamp"/>
    <d v="2025-09-20T00:00:00"/>
    <d v="2025-09-24T00:00:00"/>
    <n v="8"/>
    <n v="419"/>
    <x v="1"/>
    <x v="4"/>
    <x v="3"/>
    <x v="1"/>
    <x v="9"/>
    <x v="5"/>
    <n v="4"/>
    <n v="2514"/>
    <n v="3352"/>
    <n v="838"/>
  </r>
  <r>
    <s v="Veronica Silva"/>
    <x v="4"/>
    <s v="Rice"/>
    <d v="2024-07-09T00:00:00"/>
    <d v="2024-07-13T00:00:00"/>
    <n v="3"/>
    <n v="579"/>
    <x v="1"/>
    <x v="4"/>
    <x v="1"/>
    <x v="0"/>
    <x v="7"/>
    <x v="4"/>
    <n v="4"/>
    <n v="1042"/>
    <n v="1737"/>
    <n v="695"/>
  </r>
  <r>
    <s v="vibhuti"/>
    <x v="4"/>
    <s v="Cereal"/>
    <d v="2024-03-01T00:00:00"/>
    <d v="2024-03-12T00:00:00"/>
    <n v="2"/>
    <n v="20"/>
    <x v="1"/>
    <x v="6"/>
    <x v="3"/>
    <x v="0"/>
    <x v="10"/>
    <x v="6"/>
    <n v="11"/>
    <n v="22"/>
    <n v="40"/>
    <n v="18"/>
  </r>
  <r>
    <s v="Vickie Price"/>
    <x v="3"/>
    <s v="Jacket"/>
    <d v="2025-12-20T00:00:00"/>
    <d v="2025-12-30T00:00:00"/>
    <n v="10"/>
    <n v="308"/>
    <x v="1"/>
    <x v="4"/>
    <x v="3"/>
    <x v="1"/>
    <x v="8"/>
    <x v="5"/>
    <n v="10"/>
    <n v="2464"/>
    <n v="3080"/>
    <n v="616"/>
  </r>
  <r>
    <s v="Victoria Johnson"/>
    <x v="4"/>
    <s v="Juice"/>
    <d v="2024-12-04T00:00:00"/>
    <d v="2024-12-11T00:00:00"/>
    <n v="8"/>
    <n v="168"/>
    <x v="0"/>
    <x v="4"/>
    <x v="1"/>
    <x v="0"/>
    <x v="8"/>
    <x v="0"/>
    <n v="7"/>
    <n v="739"/>
    <n v="1344"/>
    <n v="605"/>
  </r>
  <r>
    <s v="Victoria Johnson"/>
    <x v="2"/>
    <s v="Children's Book"/>
    <d v="2025-01-25T00:00:00"/>
    <d v="2025-01-26T00:00:00"/>
    <n v="7"/>
    <n v="785"/>
    <x v="0"/>
    <x v="6"/>
    <x v="1"/>
    <x v="1"/>
    <x v="6"/>
    <x v="5"/>
    <n v="1"/>
    <n v="3297"/>
    <n v="5495"/>
    <n v="2198"/>
  </r>
  <r>
    <s v="Victoria Wyatt"/>
    <x v="4"/>
    <s v="Cereal"/>
    <d v="2025-02-02T00:00:00"/>
    <d v="2025-02-08T00:00:00"/>
    <n v="2"/>
    <n v="947"/>
    <x v="0"/>
    <x v="0"/>
    <x v="2"/>
    <x v="1"/>
    <x v="11"/>
    <x v="2"/>
    <n v="6"/>
    <n v="1042"/>
    <n v="1894"/>
    <n v="852"/>
  </r>
  <r>
    <s v="Vincent Mueller"/>
    <x v="1"/>
    <s v="Camera"/>
    <d v="2024-02-05T00:00:00"/>
    <d v="2024-02-09T00:00:00"/>
    <n v="4"/>
    <n v="656"/>
    <x v="0"/>
    <x v="2"/>
    <x v="0"/>
    <x v="0"/>
    <x v="11"/>
    <x v="3"/>
    <n v="4"/>
    <n v="2099"/>
    <n v="2624"/>
    <n v="525"/>
  </r>
  <r>
    <s v="Wendy Sanders"/>
    <x v="0"/>
    <s v="Cushion"/>
    <d v="2024-10-20T00:00:00"/>
    <d v="2024-10-31T00:00:00"/>
    <n v="5"/>
    <n v="985"/>
    <x v="1"/>
    <x v="1"/>
    <x v="3"/>
    <x v="0"/>
    <x v="4"/>
    <x v="2"/>
    <n v="11"/>
    <n v="3201"/>
    <n v="4925"/>
    <n v="1724"/>
  </r>
  <r>
    <s v="William Conner"/>
    <x v="1"/>
    <s v="Headphones"/>
    <d v="2025-08-26T00:00:00"/>
    <d v="2025-08-29T00:00:00"/>
    <n v="2"/>
    <n v="968"/>
    <x v="1"/>
    <x v="4"/>
    <x v="3"/>
    <x v="1"/>
    <x v="0"/>
    <x v="4"/>
    <n v="3"/>
    <n v="1258"/>
    <n v="1936"/>
    <n v="678"/>
  </r>
  <r>
    <s v="William Gould"/>
    <x v="0"/>
    <s v="Table Lamp"/>
    <d v="2024-08-27T00:00:00"/>
    <d v="2024-09-03T00:00:00"/>
    <n v="2"/>
    <n v="154"/>
    <x v="1"/>
    <x v="1"/>
    <x v="0"/>
    <x v="0"/>
    <x v="0"/>
    <x v="4"/>
    <n v="7"/>
    <n v="231"/>
    <n v="308"/>
    <n v="77"/>
  </r>
  <r>
    <s v="William Jackson"/>
    <x v="3"/>
    <s v="T-Shirt"/>
    <d v="2024-06-21T00:00:00"/>
    <d v="2024-06-25T00:00:00"/>
    <n v="5"/>
    <n v="591"/>
    <x v="0"/>
    <x v="2"/>
    <x v="2"/>
    <x v="0"/>
    <x v="2"/>
    <x v="6"/>
    <n v="4"/>
    <n v="1921"/>
    <n v="2955"/>
    <n v="1034"/>
  </r>
  <r>
    <s v="William Orozco"/>
    <x v="3"/>
    <s v="Sneakers"/>
    <d v="2025-04-11T00:00:00"/>
    <d v="2025-04-14T00:00:00"/>
    <n v="8"/>
    <n v="258"/>
    <x v="0"/>
    <x v="6"/>
    <x v="2"/>
    <x v="1"/>
    <x v="5"/>
    <x v="6"/>
    <n v="3"/>
    <n v="1548"/>
    <n v="2064"/>
    <n v="516"/>
  </r>
  <r>
    <s v="Xavier Rowe"/>
    <x v="0"/>
    <s v="Vase"/>
    <d v="2025-02-21T00:00:00"/>
    <d v="2025-03-03T00:00:00"/>
    <n v="3"/>
    <n v="97"/>
    <x v="0"/>
    <x v="0"/>
    <x v="2"/>
    <x v="1"/>
    <x v="11"/>
    <x v="6"/>
    <n v="10"/>
    <n v="218"/>
    <n v="291"/>
    <n v="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205EAD-310F-467E-B5E0-358B7BD9DA45}" name="PivotTable1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H69:I77" firstHeaderRow="1" firstDataRow="1" firstDataCol="1" rowPageCount="1" colPageCount="1"/>
  <pivotFields count="17">
    <pivotField showAll="0"/>
    <pivotField showAll="0">
      <items count="6">
        <item x="3"/>
        <item x="2"/>
        <item x="1"/>
        <item x="4"/>
        <item x="0"/>
        <item t="default"/>
      </items>
    </pivotField>
    <pivotField showAll="0"/>
    <pivotField numFmtId="14" showAll="0"/>
    <pivotField numFmtId="14" showAll="0"/>
    <pivotField showAll="0"/>
    <pivotField showAll="0"/>
    <pivotField axis="axisPage" showAll="0">
      <items count="4">
        <item x="2"/>
        <item x="0"/>
        <item x="1"/>
        <item t="default"/>
      </items>
    </pivotField>
    <pivotField showAll="0">
      <items count="8">
        <item x="3"/>
        <item x="4"/>
        <item x="5"/>
        <item x="0"/>
        <item x="2"/>
        <item x="1"/>
        <item x="6"/>
        <item t="default"/>
      </items>
    </pivotField>
    <pivotField showAll="0"/>
    <pivotField showAll="0">
      <items count="3">
        <item x="0"/>
        <item x="1"/>
        <item t="default"/>
      </items>
    </pivotField>
    <pivotField showAll="0">
      <items count="13">
        <item x="6"/>
        <item x="11"/>
        <item x="10"/>
        <item x="5"/>
        <item x="1"/>
        <item x="2"/>
        <item x="7"/>
        <item x="0"/>
        <item x="9"/>
        <item x="4"/>
        <item x="3"/>
        <item x="8"/>
        <item t="default"/>
      </items>
    </pivotField>
    <pivotField axis="axisRow" showAll="0">
      <items count="8">
        <item x="2"/>
        <item x="3"/>
        <item x="4"/>
        <item x="0"/>
        <item x="1"/>
        <item x="6"/>
        <item x="5"/>
        <item t="default"/>
      </items>
    </pivotField>
    <pivotField showAll="0"/>
    <pivotField showAll="0"/>
    <pivotField dataField="1" showAll="0"/>
    <pivotField showAll="0"/>
  </pivotFields>
  <rowFields count="1">
    <field x="12"/>
  </rowFields>
  <rowItems count="8">
    <i>
      <x/>
    </i>
    <i>
      <x v="1"/>
    </i>
    <i>
      <x v="2"/>
    </i>
    <i>
      <x v="3"/>
    </i>
    <i>
      <x v="4"/>
    </i>
    <i>
      <x v="5"/>
    </i>
    <i>
      <x v="6"/>
    </i>
    <i t="grand">
      <x/>
    </i>
  </rowItems>
  <colItems count="1">
    <i/>
  </colItems>
  <pageFields count="1">
    <pageField fld="7" item="1" hier="-1"/>
  </pageFields>
  <dataFields count="1">
    <dataField name="Sum of Sales Revenue" fld="15" baseField="0" baseItem="0"/>
  </dataFields>
  <chartFormats count="1">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B68B0D-511E-4974-B6B8-8DEEC7423BC9}" name="Statu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B14" firstHeaderRow="1" firstDataRow="1" firstDataCol="1"/>
  <pivotFields count="17">
    <pivotField dataField="1" showAll="0"/>
    <pivotField showAll="0">
      <items count="6">
        <item x="3"/>
        <item x="2"/>
        <item x="1"/>
        <item x="4"/>
        <item x="0"/>
        <item t="default"/>
      </items>
    </pivotField>
    <pivotField showAll="0"/>
    <pivotField numFmtId="14" showAll="0"/>
    <pivotField numFmtId="14" showAll="0"/>
    <pivotField showAll="0"/>
    <pivotField showAll="0"/>
    <pivotField axis="axisRow" showAll="0">
      <items count="4">
        <item h="1" x="2"/>
        <item x="0"/>
        <item x="1"/>
        <item t="default"/>
      </items>
    </pivotField>
    <pivotField showAll="0">
      <items count="8">
        <item x="3"/>
        <item x="4"/>
        <item x="5"/>
        <item x="0"/>
        <item x="2"/>
        <item x="1"/>
        <item x="6"/>
        <item t="default"/>
      </items>
    </pivotField>
    <pivotField showAll="0"/>
    <pivotField showAll="0">
      <items count="3">
        <item x="0"/>
        <item x="1"/>
        <item t="default"/>
      </items>
    </pivotField>
    <pivotField showAll="0">
      <items count="13">
        <item x="6"/>
        <item x="11"/>
        <item x="10"/>
        <item x="5"/>
        <item x="1"/>
        <item x="2"/>
        <item x="7"/>
        <item x="0"/>
        <item x="9"/>
        <item x="4"/>
        <item x="3"/>
        <item x="8"/>
        <item t="default"/>
      </items>
    </pivotField>
    <pivotField showAll="0"/>
    <pivotField showAll="0"/>
    <pivotField showAll="0"/>
    <pivotField showAll="0"/>
    <pivotField showAll="0"/>
  </pivotFields>
  <rowFields count="1">
    <field x="7"/>
  </rowFields>
  <rowItems count="3">
    <i>
      <x v="1"/>
    </i>
    <i>
      <x v="2"/>
    </i>
    <i t="grand">
      <x/>
    </i>
  </rowItems>
  <colItems count="1">
    <i/>
  </colItems>
  <dataFields count="1">
    <dataField name="Count of Customer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34ADF3-D990-4BB4-B475-4DB75BEB39F4}"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C69:F82" firstHeaderRow="0" firstDataRow="1" firstDataCol="1" rowPageCount="1" colPageCount="1"/>
  <pivotFields count="17">
    <pivotField showAll="0"/>
    <pivotField showAll="0">
      <items count="6">
        <item x="3"/>
        <item x="2"/>
        <item x="1"/>
        <item x="4"/>
        <item x="0"/>
        <item t="default"/>
      </items>
    </pivotField>
    <pivotField showAll="0"/>
    <pivotField numFmtId="14" showAll="0"/>
    <pivotField numFmtId="14" showAll="0"/>
    <pivotField showAll="0"/>
    <pivotField showAll="0"/>
    <pivotField axis="axisPage" showAll="0">
      <items count="4">
        <item x="2"/>
        <item x="0"/>
        <item x="1"/>
        <item t="default"/>
      </items>
    </pivotField>
    <pivotField showAll="0">
      <items count="8">
        <item x="3"/>
        <item x="4"/>
        <item x="5"/>
        <item x="0"/>
        <item x="2"/>
        <item x="1"/>
        <item x="6"/>
        <item t="default"/>
      </items>
    </pivotField>
    <pivotField showAll="0"/>
    <pivotField showAll="0">
      <items count="3">
        <item x="0"/>
        <item x="1"/>
        <item t="default"/>
      </items>
    </pivotField>
    <pivotField axis="axisRow" showAll="0">
      <items count="13">
        <item x="6"/>
        <item x="11"/>
        <item x="10"/>
        <item x="5"/>
        <item x="1"/>
        <item x="2"/>
        <item x="7"/>
        <item x="0"/>
        <item x="9"/>
        <item x="4"/>
        <item x="3"/>
        <item x="8"/>
        <item t="default"/>
      </items>
    </pivotField>
    <pivotField showAll="0"/>
    <pivotField showAll="0"/>
    <pivotField dataField="1" showAll="0"/>
    <pivotField dataField="1" showAll="0"/>
    <pivotField dataField="1" showAll="0"/>
  </pivotFields>
  <rowFields count="1">
    <field x="11"/>
  </rowFields>
  <rowItems count="13">
    <i>
      <x/>
    </i>
    <i>
      <x v="1"/>
    </i>
    <i>
      <x v="2"/>
    </i>
    <i>
      <x v="3"/>
    </i>
    <i>
      <x v="4"/>
    </i>
    <i>
      <x v="5"/>
    </i>
    <i>
      <x v="6"/>
    </i>
    <i>
      <x v="7"/>
    </i>
    <i>
      <x v="8"/>
    </i>
    <i>
      <x v="9"/>
    </i>
    <i>
      <x v="10"/>
    </i>
    <i>
      <x v="11"/>
    </i>
    <i t="grand">
      <x/>
    </i>
  </rowItems>
  <colFields count="1">
    <field x="-2"/>
  </colFields>
  <colItems count="3">
    <i>
      <x/>
    </i>
    <i i="1">
      <x v="1"/>
    </i>
    <i i="2">
      <x v="2"/>
    </i>
  </colItems>
  <pageFields count="1">
    <pageField fld="7" item="1" hier="-1"/>
  </pageFields>
  <dataFields count="3">
    <dataField name=" Total Cost" fld="14" baseField="0" baseItem="0"/>
    <dataField name=" Sales Revenue" fld="15" baseField="11" baseItem="0"/>
    <dataField name=" Net Profit" fld="16" baseField="11" baseItem="0"/>
  </dataFields>
  <chartFormats count="5">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5C53E4-A527-4739-8E76-6867D165D5C7}" name="KPI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 firstHeaderRow="0" firstDataRow="1" firstDataCol="0" rowPageCount="1" colPageCount="1"/>
  <pivotFields count="17">
    <pivotField showAll="0"/>
    <pivotField showAll="0">
      <items count="6">
        <item x="3"/>
        <item x="2"/>
        <item x="1"/>
        <item x="4"/>
        <item x="0"/>
        <item t="default"/>
      </items>
    </pivotField>
    <pivotField showAll="0"/>
    <pivotField numFmtId="14" showAll="0"/>
    <pivotField numFmtId="14" showAll="0"/>
    <pivotField showAll="0"/>
    <pivotField showAll="0"/>
    <pivotField axis="axisPage" multipleItemSelectionAllowed="1" showAll="0">
      <items count="4">
        <item h="1" x="2"/>
        <item x="0"/>
        <item h="1" x="1"/>
        <item t="default"/>
      </items>
    </pivotField>
    <pivotField showAll="0">
      <items count="8">
        <item x="3"/>
        <item x="4"/>
        <item x="5"/>
        <item x="0"/>
        <item x="2"/>
        <item x="1"/>
        <item x="6"/>
        <item t="default"/>
      </items>
    </pivotField>
    <pivotField showAll="0"/>
    <pivotField showAll="0">
      <items count="3">
        <item x="0"/>
        <item x="1"/>
        <item t="default"/>
      </items>
    </pivotField>
    <pivotField showAll="0">
      <items count="13">
        <item x="6"/>
        <item x="11"/>
        <item x="10"/>
        <item x="5"/>
        <item x="1"/>
        <item x="2"/>
        <item x="7"/>
        <item x="0"/>
        <item x="9"/>
        <item x="4"/>
        <item x="3"/>
        <item x="8"/>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7" hier="-1"/>
  </pageFields>
  <dataFields count="3">
    <dataField name="Sum of Total Cost" fld="14" baseField="0" baseItem="0"/>
    <dataField name="Sum of Sales Revenue" fld="15" baseField="0" baseItem="0"/>
    <dataField name="Sum of Net Profit"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77146D-AA99-46B8-91E9-EE0056E257CF}" name="Month"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7:A50" firstHeaderRow="1" firstDataRow="1" firstDataCol="1"/>
  <pivotFields count="17">
    <pivotField showAll="0"/>
    <pivotField showAll="0">
      <items count="6">
        <item x="3"/>
        <item x="2"/>
        <item x="1"/>
        <item x="4"/>
        <item x="0"/>
        <item t="default"/>
      </items>
    </pivotField>
    <pivotField showAll="0"/>
    <pivotField numFmtId="14" showAll="0"/>
    <pivotField numFmtId="14" showAll="0"/>
    <pivotField showAll="0"/>
    <pivotField showAll="0"/>
    <pivotField showAll="0"/>
    <pivotField showAll="0">
      <items count="8">
        <item x="3"/>
        <item x="4"/>
        <item x="5"/>
        <item x="0"/>
        <item x="2"/>
        <item x="1"/>
        <item x="6"/>
        <item t="default"/>
      </items>
    </pivotField>
    <pivotField showAll="0"/>
    <pivotField showAll="0">
      <items count="3">
        <item x="0"/>
        <item x="1"/>
        <item t="default"/>
      </items>
    </pivotField>
    <pivotField axis="axisRow" showAll="0">
      <items count="13">
        <item x="6"/>
        <item x="11"/>
        <item x="10"/>
        <item x="5"/>
        <item x="1"/>
        <item x="2"/>
        <item x="7"/>
        <item x="0"/>
        <item x="9"/>
        <item x="4"/>
        <item x="3"/>
        <item x="8"/>
        <item t="default"/>
      </items>
    </pivotField>
    <pivotField showAll="0"/>
    <pivotField showAll="0"/>
    <pivotField showAll="0"/>
    <pivotField showAll="0"/>
    <pivotField showAll="0"/>
  </pivotFields>
  <rowFields count="1">
    <field x="11"/>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C4C50F-9DEB-4BEA-B478-B99674D56E42}" name="Month_table"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0:E33" firstHeaderRow="0" firstDataRow="1" firstDataCol="1" rowPageCount="1" colPageCount="1"/>
  <pivotFields count="17">
    <pivotField showAll="0"/>
    <pivotField showAll="0">
      <items count="6">
        <item x="3"/>
        <item x="2"/>
        <item x="1"/>
        <item x="4"/>
        <item x="0"/>
        <item t="default"/>
      </items>
    </pivotField>
    <pivotField showAll="0"/>
    <pivotField numFmtId="14" showAll="0"/>
    <pivotField numFmtId="14" showAll="0"/>
    <pivotField showAll="0"/>
    <pivotField showAll="0"/>
    <pivotField axis="axisPage" showAll="0">
      <items count="4">
        <item x="2"/>
        <item x="0"/>
        <item x="1"/>
        <item t="default"/>
      </items>
    </pivotField>
    <pivotField showAll="0">
      <items count="8">
        <item x="3"/>
        <item x="4"/>
        <item x="5"/>
        <item x="0"/>
        <item x="2"/>
        <item x="1"/>
        <item x="6"/>
        <item t="default"/>
      </items>
    </pivotField>
    <pivotField showAll="0"/>
    <pivotField showAll="0">
      <items count="3">
        <item x="0"/>
        <item x="1"/>
        <item t="default"/>
      </items>
    </pivotField>
    <pivotField axis="axisRow" showAll="0">
      <items count="13">
        <item x="6"/>
        <item x="11"/>
        <item x="10"/>
        <item x="5"/>
        <item x="1"/>
        <item x="2"/>
        <item x="7"/>
        <item x="0"/>
        <item x="9"/>
        <item x="4"/>
        <item x="3"/>
        <item x="8"/>
        <item t="default"/>
      </items>
    </pivotField>
    <pivotField showAll="0"/>
    <pivotField showAll="0"/>
    <pivotField dataField="1" showAll="0"/>
    <pivotField dataField="1" showAll="0"/>
    <pivotField dataField="1" showAll="0"/>
  </pivotFields>
  <rowFields count="1">
    <field x="11"/>
  </rowFields>
  <rowItems count="13">
    <i>
      <x/>
    </i>
    <i>
      <x v="1"/>
    </i>
    <i>
      <x v="2"/>
    </i>
    <i>
      <x v="3"/>
    </i>
    <i>
      <x v="4"/>
    </i>
    <i>
      <x v="5"/>
    </i>
    <i>
      <x v="6"/>
    </i>
    <i>
      <x v="7"/>
    </i>
    <i>
      <x v="8"/>
    </i>
    <i>
      <x v="9"/>
    </i>
    <i>
      <x v="10"/>
    </i>
    <i>
      <x v="11"/>
    </i>
    <i t="grand">
      <x/>
    </i>
  </rowItems>
  <colFields count="1">
    <field x="-2"/>
  </colFields>
  <colItems count="3">
    <i>
      <x/>
    </i>
    <i i="1">
      <x v="1"/>
    </i>
    <i i="2">
      <x v="2"/>
    </i>
  </colItems>
  <pageFields count="1">
    <pageField fld="7" hier="-1"/>
  </pageFields>
  <dataFields count="3">
    <dataField name="Sum of Total Cost" fld="14" baseField="0" baseItem="0"/>
    <dataField name="Sum of Sales Revenue" fld="15" baseField="0" baseItem="0"/>
    <dataField name="Sum of Net Profit"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C1574D2-B1F5-4811-B8A6-659C0D36FA70}" name="PivotTable1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C93:D101" firstHeaderRow="1" firstDataRow="1" firstDataCol="1"/>
  <pivotFields count="17">
    <pivotField showAll="0"/>
    <pivotField showAll="0">
      <items count="6">
        <item x="3"/>
        <item x="2"/>
        <item x="1"/>
        <item x="4"/>
        <item x="0"/>
        <item t="default"/>
      </items>
    </pivotField>
    <pivotField showAll="0"/>
    <pivotField numFmtId="14" showAll="0"/>
    <pivotField numFmtId="14" showAll="0"/>
    <pivotField showAll="0"/>
    <pivotField showAll="0"/>
    <pivotField showAll="0"/>
    <pivotField axis="axisRow" showAll="0" sortType="ascending">
      <items count="8">
        <item x="3"/>
        <item x="4"/>
        <item x="5"/>
        <item x="0"/>
        <item x="2"/>
        <item x="1"/>
        <item x="6"/>
        <item t="default"/>
      </items>
      <autoSortScope>
        <pivotArea dataOnly="0" outline="0" fieldPosition="0">
          <references count="1">
            <reference field="4294967294" count="1" selected="0">
              <x v="0"/>
            </reference>
          </references>
        </pivotArea>
      </autoSortScope>
    </pivotField>
    <pivotField showAll="0"/>
    <pivotField showAll="0">
      <items count="3">
        <item x="0"/>
        <item x="1"/>
        <item t="default"/>
      </items>
    </pivotField>
    <pivotField showAll="0">
      <items count="13">
        <item x="6"/>
        <item x="11"/>
        <item x="10"/>
        <item x="5"/>
        <item x="1"/>
        <item x="2"/>
        <item x="7"/>
        <item x="0"/>
        <item x="9"/>
        <item x="4"/>
        <item x="3"/>
        <item x="8"/>
        <item t="default"/>
      </items>
    </pivotField>
    <pivotField showAll="0"/>
    <pivotField showAll="0"/>
    <pivotField showAll="0"/>
    <pivotField dataField="1" showAll="0"/>
    <pivotField showAll="0"/>
  </pivotFields>
  <rowFields count="1">
    <field x="8"/>
  </rowFields>
  <rowItems count="8">
    <i>
      <x/>
    </i>
    <i>
      <x v="2"/>
    </i>
    <i>
      <x v="3"/>
    </i>
    <i>
      <x v="6"/>
    </i>
    <i>
      <x v="5"/>
    </i>
    <i>
      <x v="1"/>
    </i>
    <i>
      <x v="4"/>
    </i>
    <i t="grand">
      <x/>
    </i>
  </rowItems>
  <colItems count="1">
    <i/>
  </colItems>
  <dataFields count="1">
    <dataField name="Sum of Sales Revenue" fld="15" baseField="0" baseItem="0"/>
  </dataFields>
  <chartFormats count="2">
    <chartFormat chart="27" format="2" series="1">
      <pivotArea type="data" outline="0" fieldPosition="0">
        <references count="1">
          <reference field="4294967294" count="1" selected="0">
            <x v="0"/>
          </reference>
        </references>
      </pivotArea>
    </chartFormat>
    <chartFormat chart="27" format="3">
      <pivotArea type="data" outline="0" fieldPosition="0">
        <references count="2">
          <reference field="4294967294" count="1" selected="0">
            <x v="0"/>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2193AE-8939-471C-A874-507D802BCE2B}" name="KPI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4:F5" firstHeaderRow="1" firstDataRow="1" firstDataCol="0"/>
  <pivotFields count="17">
    <pivotField dataField="1" showAll="0"/>
    <pivotField showAll="0">
      <items count="6">
        <item x="3"/>
        <item x="2"/>
        <item x="1"/>
        <item x="4"/>
        <item x="0"/>
        <item t="default"/>
      </items>
    </pivotField>
    <pivotField showAll="0"/>
    <pivotField numFmtId="14" showAll="0"/>
    <pivotField numFmtId="14" showAll="0"/>
    <pivotField showAll="0"/>
    <pivotField showAll="0"/>
    <pivotField showAll="0"/>
    <pivotField showAll="0">
      <items count="8">
        <item x="3"/>
        <item x="4"/>
        <item x="5"/>
        <item x="0"/>
        <item x="2"/>
        <item x="1"/>
        <item x="6"/>
        <item t="default"/>
      </items>
    </pivotField>
    <pivotField showAll="0"/>
    <pivotField showAll="0">
      <items count="3">
        <item x="0"/>
        <item x="1"/>
        <item t="default"/>
      </items>
    </pivotField>
    <pivotField showAll="0">
      <items count="13">
        <item x="6"/>
        <item x="11"/>
        <item x="10"/>
        <item x="5"/>
        <item x="1"/>
        <item x="2"/>
        <item x="7"/>
        <item x="0"/>
        <item x="9"/>
        <item x="4"/>
        <item x="3"/>
        <item x="8"/>
        <item t="default"/>
      </items>
    </pivotField>
    <pivotField showAll="0"/>
    <pivotField showAll="0"/>
    <pivotField showAll="0"/>
    <pivotField showAll="0"/>
    <pivotField showAll="0"/>
  </pivotFields>
  <rowItems count="1">
    <i/>
  </rowItems>
  <colItems count="1">
    <i/>
  </colItems>
  <dataFields count="1">
    <dataField name="Count of Customer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08A1973-4431-4C23-BA3B-3E286B3248DB}" name="PivotTable1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C54:F60" firstHeaderRow="0" firstDataRow="1" firstDataCol="1" rowPageCount="1" colPageCount="1"/>
  <pivotFields count="17">
    <pivotField showAll="0"/>
    <pivotField axis="axisRow" showAll="0">
      <items count="6">
        <item x="3"/>
        <item x="2"/>
        <item x="1"/>
        <item x="4"/>
        <item x="0"/>
        <item t="default"/>
      </items>
    </pivotField>
    <pivotField showAll="0"/>
    <pivotField numFmtId="14" showAll="0"/>
    <pivotField numFmtId="14" showAll="0"/>
    <pivotField showAll="0"/>
    <pivotField showAll="0"/>
    <pivotField axis="axisPage" showAll="0">
      <items count="4">
        <item x="2"/>
        <item x="0"/>
        <item x="1"/>
        <item t="default"/>
      </items>
    </pivotField>
    <pivotField showAll="0">
      <items count="8">
        <item x="3"/>
        <item x="4"/>
        <item x="5"/>
        <item x="0"/>
        <item x="2"/>
        <item x="1"/>
        <item x="6"/>
        <item t="default"/>
      </items>
    </pivotField>
    <pivotField showAll="0"/>
    <pivotField showAll="0">
      <items count="3">
        <item x="0"/>
        <item x="1"/>
        <item t="default"/>
      </items>
    </pivotField>
    <pivotField showAll="0">
      <items count="13">
        <item x="6"/>
        <item x="11"/>
        <item x="10"/>
        <item x="5"/>
        <item x="1"/>
        <item x="2"/>
        <item x="7"/>
        <item x="0"/>
        <item x="9"/>
        <item x="4"/>
        <item x="3"/>
        <item x="8"/>
        <item t="default"/>
      </items>
    </pivotField>
    <pivotField showAll="0"/>
    <pivotField showAll="0"/>
    <pivotField dataField="1" showAll="0"/>
    <pivotField dataField="1" showAll="0"/>
    <pivotField dataField="1" showAll="0"/>
  </pivotFields>
  <rowFields count="1">
    <field x="1"/>
  </rowFields>
  <rowItems count="6">
    <i>
      <x/>
    </i>
    <i>
      <x v="1"/>
    </i>
    <i>
      <x v="2"/>
    </i>
    <i>
      <x v="3"/>
    </i>
    <i>
      <x v="4"/>
    </i>
    <i t="grand">
      <x/>
    </i>
  </rowItems>
  <colFields count="1">
    <field x="-2"/>
  </colFields>
  <colItems count="3">
    <i>
      <x/>
    </i>
    <i i="1">
      <x v="1"/>
    </i>
    <i i="2">
      <x v="2"/>
    </i>
  </colItems>
  <pageFields count="1">
    <pageField fld="7" item="1" hier="-1"/>
  </pageFields>
  <dataFields count="3">
    <dataField name=" Total Cost" fld="14" baseField="0" baseItem="0"/>
    <dataField name=" Sales Revenue" fld="15" baseField="0" baseItem="0"/>
    <dataField name=" Net Profit" fld="16" baseField="0" baseItem="0"/>
  </dataFields>
  <chartFormats count="8">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4" format="9">
      <pivotArea type="data" outline="0" fieldPosition="0">
        <references count="2">
          <reference field="4294967294" count="1" selected="0">
            <x v="1"/>
          </reference>
          <reference field="1" count="1" selected="0">
            <x v="4"/>
          </reference>
        </references>
      </pivotArea>
    </chartFormat>
    <chartFormat chart="4" format="9">
      <pivotArea type="data" outline="0" fieldPosition="0">
        <references count="2">
          <reference field="4294967294" count="1" selected="0">
            <x v="1"/>
          </reference>
          <reference field="1" count="1" selected="0">
            <x v="3"/>
          </reference>
        </references>
      </pivotArea>
    </chartFormat>
    <chartFormat chart="4" format="10">
      <pivotArea type="data" outline="0" fieldPosition="0">
        <references count="2">
          <reference field="4294967294" count="1" selected="0">
            <x v="1"/>
          </reference>
          <reference field="1" count="1" selected="0">
            <x v="2"/>
          </reference>
        </references>
      </pivotArea>
    </chartFormat>
    <chartFormat chart="4" format="11">
      <pivotArea type="data" outline="0" fieldPosition="0">
        <references count="2">
          <reference field="4294967294" count="1" selected="0">
            <x v="1"/>
          </reference>
          <reference field="1" count="1" selected="0">
            <x v="1"/>
          </reference>
        </references>
      </pivotArea>
    </chartFormat>
    <chartFormat chart="4" format="12">
      <pivotArea type="data" outline="0" fieldPosition="0">
        <references count="2">
          <reference field="4294967294" count="1" selected="0">
            <x v="1"/>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B131C42-5F0F-490E-AE52-78D82AE98959}" name="PivotTable1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H84:I89" firstHeaderRow="1" firstDataRow="1" firstDataCol="1"/>
  <pivotFields count="17">
    <pivotField showAll="0"/>
    <pivotField showAll="0">
      <items count="6">
        <item x="3"/>
        <item x="2"/>
        <item x="1"/>
        <item x="4"/>
        <item x="0"/>
        <item t="default"/>
      </items>
    </pivotField>
    <pivotField showAll="0"/>
    <pivotField numFmtId="14" showAll="0"/>
    <pivotField numFmtId="14" showAll="0"/>
    <pivotField showAll="0"/>
    <pivotField showAll="0"/>
    <pivotField showAll="0"/>
    <pivotField showAll="0">
      <items count="8">
        <item x="3"/>
        <item x="4"/>
        <item x="5"/>
        <item x="0"/>
        <item x="2"/>
        <item x="1"/>
        <item x="6"/>
        <item t="default"/>
      </items>
    </pivotField>
    <pivotField axis="axisRow" dataField="1" showAll="0">
      <items count="5">
        <item x="3"/>
        <item x="0"/>
        <item x="1"/>
        <item x="2"/>
        <item t="default"/>
      </items>
    </pivotField>
    <pivotField showAll="0">
      <items count="3">
        <item x="0"/>
        <item x="1"/>
        <item t="default"/>
      </items>
    </pivotField>
    <pivotField showAll="0">
      <items count="13">
        <item x="6"/>
        <item x="11"/>
        <item x="10"/>
        <item x="5"/>
        <item x="1"/>
        <item x="2"/>
        <item x="7"/>
        <item x="0"/>
        <item x="9"/>
        <item x="4"/>
        <item x="3"/>
        <item x="8"/>
        <item t="default"/>
      </items>
    </pivotField>
    <pivotField showAll="0"/>
    <pivotField showAll="0"/>
    <pivotField showAll="0"/>
    <pivotField showAll="0"/>
    <pivotField showAll="0"/>
  </pivotFields>
  <rowFields count="1">
    <field x="9"/>
  </rowFields>
  <rowItems count="5">
    <i>
      <x/>
    </i>
    <i>
      <x v="1"/>
    </i>
    <i>
      <x v="2"/>
    </i>
    <i>
      <x v="3"/>
    </i>
    <i t="grand">
      <x/>
    </i>
  </rowItems>
  <colItems count="1">
    <i/>
  </colItems>
  <dataFields count="1">
    <dataField name="Count of Payment Method" fld="9" subtotal="count" baseField="0" baseItem="0"/>
  </dataFields>
  <chartFormats count="2">
    <chartFormat chart="34" format="1" series="1">
      <pivotArea type="data" outline="0" fieldPosition="0">
        <references count="1">
          <reference field="4294967294" count="1" selected="0">
            <x v="0"/>
          </reference>
        </references>
      </pivotArea>
    </chartFormat>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C3D5264-623B-4C36-97D3-8F51EA385F2C}" sourceName="Month">
  <pivotTables>
    <pivotTable tabId="9" name="Month"/>
    <pivotTable tabId="9" name="KPI1"/>
    <pivotTable tabId="9" name="KPI2"/>
    <pivotTable tabId="9" name="Status"/>
    <pivotTable tabId="9" name="PivotTable12"/>
    <pivotTable tabId="9" name="PivotTable13"/>
    <pivotTable tabId="9" name="PivotTable14"/>
    <pivotTable tabId="9" name="PivotTable15"/>
    <pivotTable tabId="9" name="PivotTable16"/>
  </pivotTables>
  <data>
    <tabular pivotCacheId="1741493261">
      <items count="12">
        <i x="6" s="1"/>
        <i x="11" s="1"/>
        <i x="10" s="1"/>
        <i x="5" s="1"/>
        <i x="1" s="1"/>
        <i x="2" s="1"/>
        <i x="7" s="1"/>
        <i x="0" s="1"/>
        <i x="9" s="1"/>
        <i x="4" s="1"/>
        <i x="3" s="1"/>
        <i x="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D4FF2A5-0168-49E2-B8F9-B769B58D3AA3}" sourceName="Year">
  <pivotTables>
    <pivotTable tabId="9" name="Month_table"/>
    <pivotTable tabId="9" name="KPI1"/>
    <pivotTable tabId="9" name="KPI2"/>
    <pivotTable tabId="9" name="Month"/>
    <pivotTable tabId="9" name="Status"/>
    <pivotTable tabId="9" name="PivotTable12"/>
    <pivotTable tabId="9" name="PivotTable13"/>
    <pivotTable tabId="9" name="PivotTable14"/>
    <pivotTable tabId="9" name="PivotTable15"/>
    <pivotTable tabId="9" name="PivotTable16"/>
  </pivotTables>
  <data>
    <tabular pivotCacheId="1741493261">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61ACBED9-6AB5-4B94-8841-D2DD11F8B8ED}" sourceName="Product Category">
  <pivotTables>
    <pivotTable tabId="9" name="KPI2"/>
    <pivotTable tabId="9" name="KPI1"/>
    <pivotTable tabId="9" name="Month"/>
    <pivotTable tabId="9" name="Month_table"/>
    <pivotTable tabId="9" name="Status"/>
    <pivotTable tabId="9" name="PivotTable12"/>
    <pivotTable tabId="9" name="PivotTable13"/>
    <pivotTable tabId="9" name="PivotTable14"/>
    <pivotTable tabId="9" name="PivotTable15"/>
    <pivotTable tabId="9" name="PivotTable16"/>
  </pivotTables>
  <data>
    <tabular pivotCacheId="1741493261">
      <items count="5">
        <i x="3" s="1"/>
        <i x="2" s="1"/>
        <i x="1" s="1"/>
        <i x="4"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F672E643-4FA9-450E-873B-6FA35A910A51}" sourceName="Country">
  <pivotTables>
    <pivotTable tabId="9" name="KPI2"/>
    <pivotTable tabId="9" name="KPI1"/>
    <pivotTable tabId="9" name="Month"/>
    <pivotTable tabId="9" name="Month_table"/>
    <pivotTable tabId="9" name="Status"/>
    <pivotTable tabId="9" name="PivotTable12"/>
    <pivotTable tabId="9" name="PivotTable13"/>
    <pivotTable tabId="9" name="PivotTable14"/>
    <pivotTable tabId="9" name="PivotTable15"/>
    <pivotTable tabId="9" name="PivotTable16"/>
  </pivotTables>
  <data>
    <tabular pivotCacheId="1741493261">
      <items count="7">
        <i x="3" s="1"/>
        <i x="4" s="1"/>
        <i x="5" s="1"/>
        <i x="0" s="1"/>
        <i x="2" s="1"/>
        <i x="1"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DE90345B-99FA-4B55-B5E2-BBDABFD3AF7C}" cache="Slicer_Month" caption="Month" columnCount="12" showCaption="0" rowHeight="234950"/>
  <slicer name="Year" xr10:uid="{71DC34B0-1E9F-4919-8579-B29980BCF0AC}" cache="Slicer_Year" caption="Year" columnCount="2" showCaption="0" rowHeight="234950"/>
  <slicer name="Product Category" xr10:uid="{340C644B-1DCB-419F-83D0-CBB63592B3E8}" cache="Slicer_Product_Category" caption="Product Category" rowHeight="234950"/>
  <slicer name="Country" xr10:uid="{F03FA94A-1F1F-4C23-843D-51E05AA85F3B}" cache="Slicer_Country" caption="Countr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7B6B1C-F219-4DFE-AA41-69FAC865EDD7}" name="Table1" displayName="Table1" ref="A1:Q571" totalsRowShown="0">
  <autoFilter ref="A1:Q571" xr:uid="{657B6B1C-F219-4DFE-AA41-69FAC865EDD7}"/>
  <sortState xmlns:xlrd2="http://schemas.microsoft.com/office/spreadsheetml/2017/richdata2" ref="A2:Q571">
    <sortCondition ref="A1:A571"/>
  </sortState>
  <tableColumns count="17">
    <tableColumn id="2" xr3:uid="{98C64E99-0902-42D5-9BDD-12B48B2BB4C6}" name="Customer Name"/>
    <tableColumn id="3" xr3:uid="{548B881A-ECF4-4C3A-8ED3-3B090B7AA708}" name="Product Category"/>
    <tableColumn id="4" xr3:uid="{363721E9-37DE-4B04-8F5D-8820081641E0}" name="Product Name"/>
    <tableColumn id="5" xr3:uid="{87621F21-8C67-4723-8DCE-CE37F8493F18}" name="Order Date" dataDxfId="2"/>
    <tableColumn id="6" xr3:uid="{E17ED0FD-78EC-47DC-B04B-4AC39A5B198F}" name="Delivered Date" dataDxfId="1"/>
    <tableColumn id="7" xr3:uid="{4E634F75-59A2-4974-8877-075BBC4991BA}" name="Quantity" dataDxfId="0"/>
    <tableColumn id="8" xr3:uid="{C1F84220-3CFB-4B07-A07E-F69FA686352B}" name="Unit Price"/>
    <tableColumn id="9" xr3:uid="{5B0C7983-F94C-432F-838F-88A94F4C29FE}" name="Status"/>
    <tableColumn id="10" xr3:uid="{E957F304-8353-4953-B3F1-93452886B13F}" name="Country"/>
    <tableColumn id="11" xr3:uid="{20341BA2-8A00-49F9-B1D6-EEB0539661AC}" name="Payment Method"/>
    <tableColumn id="12" xr3:uid="{A93C1B75-5902-4A06-98E9-F2EB64957148}" name="Year">
      <calculatedColumnFormula>YEAR(D2)</calculatedColumnFormula>
    </tableColumn>
    <tableColumn id="13" xr3:uid="{87CD15C4-75A5-481F-8025-EA14C6821E75}" name="Month">
      <calculatedColumnFormula>TEXT(D2,"mmm")</calculatedColumnFormula>
    </tableColumn>
    <tableColumn id="14" xr3:uid="{BC1F53DB-B8A0-445B-9664-67D78A759F2F}" name="Day">
      <calculatedColumnFormula>TEXT(D2,"ddd")</calculatedColumnFormula>
    </tableColumn>
    <tableColumn id="15" xr3:uid="{8FD252F7-87B6-4D90-B4BD-0E1BF3835AAF}" name="Delivery Time">
      <calculatedColumnFormula>DATEDIF(D2, E2, "d")</calculatedColumnFormula>
    </tableColumn>
    <tableColumn id="16" xr3:uid="{7014304A-338C-4581-833E-CB24CAA4DA95}" name="Total Cost">
      <calculatedColumnFormula>ROUND(Table1[[#This Row],[Unit Price]]*Table1[[#This Row],[Quantity]]*VLOOKUP(C2,Table2[#All],2,FALSE),0)</calculatedColumnFormula>
    </tableColumn>
    <tableColumn id="18" xr3:uid="{CFACE257-A948-4AB1-81F9-65B7181EB559}" name="Sales Revenue">
      <calculatedColumnFormula>ROUND(F2*G2,0)</calculatedColumnFormula>
    </tableColumn>
    <tableColumn id="17" xr3:uid="{782F41B3-4ED3-4A37-990A-9BCBAAD84049}" name="Net Profit">
      <calculatedColumnFormula>ROUND((G2*F2)-O2,0)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97D997-C0FC-4751-8819-B819C34EAD9E}" name="Table2" displayName="Table2" ref="A1:B26" totalsRowShown="0">
  <autoFilter ref="A1:B26" xr:uid="{8C97D997-C0FC-4751-8819-B819C34EAD9E}"/>
  <tableColumns count="2">
    <tableColumn id="1" xr3:uid="{85D68078-008B-4696-AB73-BB195A808710}" name="Product Name"/>
    <tableColumn id="2" xr3:uid="{A817D840-CA0F-432B-8E54-29FE8A2D1897}" name="Cost Percentag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B7F0898-904F-49DD-AA62-02B240F422C2}">
  <we:reference id="wa200001584" version="3.0.4.6" store="en-US" storeType="OMEX"/>
  <we:alternateReferences>
    <we:reference id="wa200001584" version="3.0.4.6" store="wa20000158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70BAF-3B02-4088-8E5C-208795689ECB}">
  <sheetPr codeName="Sheet6"/>
  <dimension ref="I15:I16"/>
  <sheetViews>
    <sheetView showGridLines="0" zoomScaleNormal="100" workbookViewId="0">
      <selection activeCell="Y5" sqref="Y5"/>
    </sheetView>
  </sheetViews>
  <sheetFormatPr defaultRowHeight="14.4"/>
  <cols>
    <col min="1" max="6" width="8.88671875" style="44"/>
    <col min="7" max="7" width="10.33203125" style="44" customWidth="1"/>
    <col min="8" max="16384" width="8.88671875" style="44"/>
  </cols>
  <sheetData>
    <row r="15" spans="9:9" ht="17.399999999999999" customHeight="1">
      <c r="I15" s="43"/>
    </row>
    <row r="16" spans="9:9">
      <c r="I16" s="4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36" r:id="rId3" name="Button 16">
              <controlPr defaultSize="0" autoFill="0" autoPict="0" macro="[0]!Refresh">
                <anchor moveWithCells="1" sizeWithCells="1">
                  <from>
                    <xdr:col>0</xdr:col>
                    <xdr:colOff>68580</xdr:colOff>
                    <xdr:row>5</xdr:row>
                    <xdr:rowOff>167640</xdr:rowOff>
                  </from>
                  <to>
                    <xdr:col>1</xdr:col>
                    <xdr:colOff>472440</xdr:colOff>
                    <xdr:row>7</xdr:row>
                    <xdr:rowOff>182880</xdr:rowOff>
                  </to>
                </anchor>
              </controlPr>
            </control>
          </mc:Choice>
        </mc:AlternateContent>
        <mc:AlternateContent xmlns:mc="http://schemas.openxmlformats.org/markup-compatibility/2006">
          <mc:Choice Requires="x14">
            <control shapeId="5141" r:id="rId4" name="Button 21">
              <controlPr defaultSize="0" autoFill="0" autoPict="0" macro="[0]!Sales">
                <anchor moveWithCells="1" sizeWithCells="1">
                  <from>
                    <xdr:col>0</xdr:col>
                    <xdr:colOff>76200</xdr:colOff>
                    <xdr:row>11</xdr:row>
                    <xdr:rowOff>167640</xdr:rowOff>
                  </from>
                  <to>
                    <xdr:col>1</xdr:col>
                    <xdr:colOff>480060</xdr:colOff>
                    <xdr:row>14</xdr:row>
                    <xdr:rowOff>0</xdr:rowOff>
                  </to>
                </anchor>
              </controlPr>
            </control>
          </mc:Choice>
        </mc:AlternateContent>
        <mc:AlternateContent xmlns:mc="http://schemas.openxmlformats.org/markup-compatibility/2006">
          <mc:Choice Requires="x14">
            <control shapeId="5144" r:id="rId5" name="Button 24">
              <controlPr defaultSize="0" autoFill="0" autoPict="0" macro="[0]!form">
                <anchor moveWithCells="1" sizeWithCells="1">
                  <from>
                    <xdr:col>0</xdr:col>
                    <xdr:colOff>76200</xdr:colOff>
                    <xdr:row>24</xdr:row>
                    <xdr:rowOff>160020</xdr:rowOff>
                  </from>
                  <to>
                    <xdr:col>1</xdr:col>
                    <xdr:colOff>480060</xdr:colOff>
                    <xdr:row>26</xdr:row>
                    <xdr:rowOff>175260</xdr:rowOff>
                  </to>
                </anchor>
              </controlPr>
            </control>
          </mc:Choice>
        </mc:AlternateContent>
        <mc:AlternateContent xmlns:mc="http://schemas.openxmlformats.org/markup-compatibility/2006">
          <mc:Choice Requires="x14">
            <control shapeId="5145" r:id="rId6" name="Button 25">
              <controlPr defaultSize="0" autoFill="0" autoPict="0" macro="[0]!Analysis">
                <anchor moveWithCells="1" sizeWithCells="1">
                  <from>
                    <xdr:col>0</xdr:col>
                    <xdr:colOff>76200</xdr:colOff>
                    <xdr:row>18</xdr:row>
                    <xdr:rowOff>68580</xdr:rowOff>
                  </from>
                  <to>
                    <xdr:col>1</xdr:col>
                    <xdr:colOff>480060</xdr:colOff>
                    <xdr:row>20</xdr:row>
                    <xdr:rowOff>83820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FB3A5-8314-4AD4-9472-18CBD6E8E208}">
  <sheetPr codeName="Sheet3"/>
  <dimension ref="A1:EN448"/>
  <sheetViews>
    <sheetView showGridLines="0" tabSelected="1" zoomScale="115" zoomScaleNormal="115" workbookViewId="0">
      <selection activeCell="K17" sqref="K17"/>
    </sheetView>
  </sheetViews>
  <sheetFormatPr defaultRowHeight="14.4"/>
  <cols>
    <col min="1" max="4" width="8.88671875" style="18"/>
    <col min="5" max="5" width="0.6640625" style="18" customWidth="1"/>
    <col min="6" max="6" width="8.88671875" style="18" hidden="1" customWidth="1"/>
    <col min="7" max="7" width="16.77734375" style="18" bestFit="1" customWidth="1"/>
    <col min="8" max="8" width="1.5546875" style="18" customWidth="1"/>
    <col min="9" max="9" width="22.6640625" style="18" customWidth="1"/>
    <col min="10" max="10" width="8.88671875" style="18"/>
    <col min="11" max="11" width="16.88671875" style="18" bestFit="1" customWidth="1"/>
    <col min="12" max="12" width="22.21875" style="18" customWidth="1"/>
    <col min="13" max="13" width="4.6640625" style="18" customWidth="1"/>
    <col min="14" max="16" width="8.88671875" style="18"/>
    <col min="17" max="17" width="15.88671875" style="18" customWidth="1"/>
    <col min="18" max="18" width="17.44140625" style="18" customWidth="1"/>
    <col min="19" max="19" width="16.44140625" style="18" customWidth="1"/>
    <col min="20" max="20" width="13.5546875" style="18" customWidth="1"/>
    <col min="21" max="21" width="15.6640625" style="18" customWidth="1"/>
    <col min="22" max="22" width="10.88671875" style="18" customWidth="1"/>
    <col min="23" max="23" width="13.109375" style="18" customWidth="1"/>
    <col min="24" max="24" width="13.33203125" style="18" customWidth="1"/>
    <col min="25" max="25" width="11.33203125" style="18" customWidth="1"/>
    <col min="26" max="26" width="15.5546875" style="18" bestFit="1" customWidth="1"/>
    <col min="27" max="38" width="8.88671875" style="18"/>
    <col min="39" max="39" width="14.33203125" style="18" bestFit="1" customWidth="1"/>
    <col min="40" max="40" width="15.21875" style="18" bestFit="1" customWidth="1"/>
    <col min="41" max="41" width="12.6640625" style="18" bestFit="1" customWidth="1"/>
    <col min="42" max="42" width="10" style="18" bestFit="1" customWidth="1"/>
    <col min="43" max="43" width="13.109375" style="18" bestFit="1" customWidth="1"/>
    <col min="44" max="44" width="8" style="18" bestFit="1" customWidth="1"/>
    <col min="45" max="45" width="8.88671875" style="18"/>
    <col min="46" max="46" width="9.88671875" style="18" bestFit="1" customWidth="1"/>
    <col min="47" max="47" width="9.33203125" style="18" bestFit="1" customWidth="1"/>
    <col min="48" max="48" width="15.109375" style="18" bestFit="1" customWidth="1"/>
    <col min="49" max="62" width="8.88671875" style="18"/>
    <col min="63" max="63" width="6.6640625" style="18" customWidth="1"/>
    <col min="64" max="64" width="7.21875" style="18" customWidth="1"/>
    <col min="65" max="66" width="5.21875" style="18" customWidth="1"/>
    <col min="67" max="144" width="8.88671875" style="18"/>
  </cols>
  <sheetData>
    <row r="1" spans="6:49" s="18" customFormat="1">
      <c r="AM1" s="42"/>
      <c r="AN1" s="42"/>
      <c r="AO1" s="42"/>
      <c r="AP1" s="42"/>
      <c r="AQ1" s="42"/>
      <c r="AR1" s="42"/>
      <c r="AS1" s="42"/>
      <c r="AT1" s="42"/>
      <c r="AU1" s="42"/>
      <c r="AV1" s="42"/>
      <c r="AW1" s="42"/>
    </row>
    <row r="2" spans="6:49" s="18" customFormat="1">
      <c r="AM2" s="42"/>
      <c r="AN2" s="42"/>
      <c r="AO2" s="42"/>
      <c r="AP2" s="42"/>
      <c r="AQ2" s="42"/>
      <c r="AR2" s="42"/>
      <c r="AS2" s="42"/>
      <c r="AT2" s="42"/>
      <c r="AU2" s="42"/>
      <c r="AV2" s="42"/>
      <c r="AW2" s="42"/>
    </row>
    <row r="3" spans="6:49" s="18" customFormat="1">
      <c r="AM3" s="42"/>
      <c r="AN3" s="42"/>
      <c r="AO3" s="42"/>
      <c r="AP3" s="42"/>
      <c r="AQ3" s="42"/>
      <c r="AR3" s="42"/>
      <c r="AS3" s="42"/>
      <c r="AT3" s="42"/>
      <c r="AU3" s="42"/>
      <c r="AV3" s="42"/>
      <c r="AW3" s="42"/>
    </row>
    <row r="4" spans="6:49" s="18" customFormat="1" ht="19.2" customHeight="1" thickBot="1">
      <c r="AM4" s="42"/>
      <c r="AN4" s="42"/>
      <c r="AO4" s="42"/>
      <c r="AP4" s="42"/>
      <c r="AQ4" s="42"/>
      <c r="AR4" s="42"/>
      <c r="AS4" s="42"/>
      <c r="AT4" s="42"/>
      <c r="AU4" s="42"/>
      <c r="AV4" s="42"/>
      <c r="AW4" s="42"/>
    </row>
    <row r="5" spans="6:49" ht="21" customHeight="1">
      <c r="F5"/>
      <c r="G5" s="64" t="s">
        <v>608</v>
      </c>
      <c r="H5" s="65"/>
      <c r="I5" s="65"/>
      <c r="J5" s="65"/>
      <c r="K5" s="65"/>
      <c r="L5" s="65"/>
      <c r="M5" s="65"/>
      <c r="AM5" s="42"/>
      <c r="AN5" s="42"/>
      <c r="AO5" s="42"/>
      <c r="AP5" s="42"/>
      <c r="AQ5" s="42"/>
      <c r="AR5" s="42"/>
      <c r="AS5" s="42"/>
      <c r="AT5" s="42"/>
      <c r="AU5" s="42"/>
      <c r="AV5" s="42"/>
      <c r="AW5" s="42"/>
    </row>
    <row r="6" spans="6:49" ht="15" thickBot="1">
      <c r="G6" s="66"/>
      <c r="H6" s="66"/>
      <c r="I6" s="66"/>
      <c r="J6" s="66"/>
      <c r="K6" s="66"/>
      <c r="L6" s="66"/>
      <c r="M6" s="66"/>
      <c r="AW6" s="42"/>
    </row>
    <row r="7" spans="6:49" ht="18.600000000000001" customHeight="1">
      <c r="G7" s="32"/>
      <c r="H7" s="31"/>
      <c r="I7" s="31"/>
      <c r="J7" s="31"/>
      <c r="K7" s="31"/>
      <c r="L7" s="31"/>
      <c r="M7" s="30"/>
      <c r="T7" s="29"/>
      <c r="U7" s="29"/>
      <c r="V7" s="33"/>
      <c r="W7" s="33"/>
      <c r="AW7" s="42"/>
    </row>
    <row r="8" spans="6:49">
      <c r="F8"/>
      <c r="G8" s="26" t="s">
        <v>607</v>
      </c>
      <c r="H8"/>
      <c r="I8" s="34"/>
      <c r="J8"/>
      <c r="K8" s="25" t="s">
        <v>606</v>
      </c>
      <c r="L8" s="34"/>
      <c r="M8" s="24"/>
      <c r="AM8" s="42"/>
      <c r="AN8" s="42"/>
      <c r="AO8" s="42"/>
      <c r="AP8" s="42"/>
      <c r="AQ8" s="42"/>
      <c r="AR8" s="42"/>
      <c r="AS8" s="42"/>
      <c r="AT8" s="42"/>
      <c r="AU8" s="42"/>
      <c r="AV8" s="42"/>
      <c r="AW8" s="42"/>
    </row>
    <row r="9" spans="6:49">
      <c r="F9"/>
      <c r="G9" s="27"/>
      <c r="H9"/>
      <c r="I9"/>
      <c r="J9"/>
      <c r="K9" s="20"/>
      <c r="L9"/>
      <c r="M9" s="24"/>
      <c r="AM9" s="42"/>
      <c r="AN9" s="42"/>
      <c r="AO9" s="42"/>
      <c r="AP9" s="42"/>
      <c r="AQ9" s="42"/>
      <c r="AR9" s="42"/>
      <c r="AS9" s="42"/>
      <c r="AT9" s="42"/>
      <c r="AU9" s="42"/>
      <c r="AV9" s="42"/>
      <c r="AW9" s="42"/>
    </row>
    <row r="10" spans="6:49">
      <c r="F10"/>
      <c r="G10" s="26" t="s">
        <v>605</v>
      </c>
      <c r="H10"/>
      <c r="I10" s="34"/>
      <c r="J10"/>
      <c r="K10" s="25" t="s">
        <v>604</v>
      </c>
      <c r="L10" s="34"/>
      <c r="M10" s="24"/>
      <c r="T10" s="29"/>
      <c r="U10" s="29"/>
      <c r="AM10" s="42"/>
      <c r="AN10" s="42"/>
      <c r="AO10" s="42"/>
      <c r="AP10" s="42"/>
      <c r="AQ10" s="42"/>
      <c r="AR10" s="42"/>
      <c r="AS10" s="42"/>
      <c r="AT10" s="42"/>
      <c r="AU10" s="42"/>
      <c r="AV10" s="42"/>
      <c r="AW10" s="42"/>
    </row>
    <row r="11" spans="6:49">
      <c r="F11"/>
      <c r="G11" s="27"/>
      <c r="H11"/>
      <c r="I11"/>
      <c r="J11"/>
      <c r="K11" s="28"/>
      <c r="L11"/>
      <c r="M11" s="24"/>
      <c r="T11" s="29"/>
      <c r="U11" s="29"/>
      <c r="AM11" s="42"/>
      <c r="AN11" s="42"/>
      <c r="AO11" s="42"/>
      <c r="AP11" s="42"/>
      <c r="AQ11" s="42"/>
      <c r="AR11" s="42"/>
      <c r="AS11" s="42"/>
      <c r="AT11" s="42"/>
      <c r="AU11" s="42"/>
      <c r="AV11" s="42"/>
      <c r="AW11" s="42"/>
    </row>
    <row r="12" spans="6:49">
      <c r="F12"/>
      <c r="G12" s="26" t="s">
        <v>603</v>
      </c>
      <c r="H12"/>
      <c r="I12" s="34"/>
      <c r="J12"/>
      <c r="K12" s="25" t="s">
        <v>602</v>
      </c>
      <c r="L12" s="34"/>
      <c r="M12" s="24"/>
      <c r="AM12" s="42" t="s">
        <v>661</v>
      </c>
      <c r="AN12" s="42" t="s">
        <v>16</v>
      </c>
      <c r="AO12" s="42" t="s">
        <v>43</v>
      </c>
      <c r="AP12" s="42">
        <v>45363</v>
      </c>
      <c r="AQ12" s="42">
        <v>45359</v>
      </c>
      <c r="AR12" s="42">
        <v>1</v>
      </c>
      <c r="AS12" s="42">
        <v>30</v>
      </c>
      <c r="AT12" s="42" t="s">
        <v>27</v>
      </c>
      <c r="AU12" s="42" t="s">
        <v>546</v>
      </c>
      <c r="AV12" s="42" t="s">
        <v>14</v>
      </c>
      <c r="AW12" s="42"/>
    </row>
    <row r="13" spans="6:49">
      <c r="F13"/>
      <c r="G13" s="27"/>
      <c r="H13"/>
      <c r="I13"/>
      <c r="J13"/>
      <c r="K13" s="28"/>
      <c r="L13" s="20"/>
      <c r="M13" s="24"/>
      <c r="AM13" s="42"/>
      <c r="AN13" s="42"/>
      <c r="AO13" s="42"/>
      <c r="AP13" s="42"/>
      <c r="AQ13" s="42"/>
      <c r="AR13" s="42"/>
      <c r="AS13" s="42"/>
      <c r="AT13" s="42"/>
      <c r="AU13" s="42"/>
      <c r="AV13" s="42"/>
      <c r="AW13" s="42"/>
    </row>
    <row r="14" spans="6:49">
      <c r="F14"/>
      <c r="G14" s="26" t="s">
        <v>601</v>
      </c>
      <c r="H14"/>
      <c r="I14" s="35"/>
      <c r="J14"/>
      <c r="K14" s="25" t="s">
        <v>600</v>
      </c>
      <c r="L14" s="34"/>
      <c r="M14" s="24"/>
      <c r="AM14" s="42"/>
      <c r="AN14" s="42"/>
      <c r="AO14" s="42"/>
      <c r="AP14" s="42"/>
      <c r="AQ14" s="42"/>
      <c r="AR14" s="42"/>
      <c r="AS14" s="42"/>
      <c r="AT14" s="42"/>
      <c r="AU14" s="42"/>
      <c r="AV14" s="42"/>
      <c r="AW14" s="42"/>
    </row>
    <row r="15" spans="6:49">
      <c r="F15"/>
      <c r="G15" s="27"/>
      <c r="H15"/>
      <c r="I15"/>
      <c r="J15"/>
      <c r="K15" s="20"/>
      <c r="L15"/>
      <c r="M15" s="24"/>
      <c r="T15" s="29"/>
      <c r="U15" s="29"/>
      <c r="AM15" s="42"/>
      <c r="AN15" s="42"/>
      <c r="AO15" s="42"/>
      <c r="AP15" s="42"/>
      <c r="AQ15" s="42"/>
      <c r="AR15" s="42"/>
      <c r="AS15" s="42"/>
      <c r="AT15" s="42"/>
      <c r="AU15" s="42"/>
      <c r="AV15" s="42"/>
      <c r="AW15" s="42"/>
    </row>
    <row r="16" spans="6:49">
      <c r="F16"/>
      <c r="G16" s="26" t="s">
        <v>599</v>
      </c>
      <c r="H16"/>
      <c r="I16" s="35"/>
      <c r="J16"/>
      <c r="K16" s="25" t="s">
        <v>598</v>
      </c>
      <c r="L16" s="34"/>
      <c r="M16" s="24"/>
      <c r="AM16" s="42"/>
      <c r="AN16" s="42"/>
      <c r="AO16" s="42"/>
      <c r="AP16" s="42"/>
      <c r="AQ16" s="42"/>
      <c r="AR16" s="42"/>
      <c r="AS16" s="42"/>
      <c r="AT16" s="42"/>
      <c r="AU16" s="42"/>
      <c r="AV16" s="42"/>
      <c r="AW16" s="42"/>
    </row>
    <row r="17" spans="6:49" ht="33.6" customHeight="1" thickBot="1">
      <c r="F17"/>
      <c r="G17" s="23"/>
      <c r="H17" s="22"/>
      <c r="I17" s="22"/>
      <c r="J17" s="22"/>
      <c r="K17" s="22"/>
      <c r="L17" s="22"/>
      <c r="M17" s="21"/>
      <c r="AM17" s="42"/>
      <c r="AN17" s="42"/>
      <c r="AO17" s="42"/>
      <c r="AP17" s="42"/>
      <c r="AQ17" s="42"/>
      <c r="AR17" s="42"/>
      <c r="AS17" s="42"/>
      <c r="AT17" s="42"/>
      <c r="AU17" s="42"/>
      <c r="AV17" s="42"/>
      <c r="AW17" s="42"/>
    </row>
    <row r="18" spans="6:49">
      <c r="AM18" s="42"/>
      <c r="AN18" s="42"/>
      <c r="AO18" s="42"/>
      <c r="AP18" s="42"/>
      <c r="AQ18" s="42"/>
      <c r="AR18" s="42"/>
      <c r="AS18" s="42"/>
      <c r="AT18" s="42"/>
      <c r="AU18" s="42"/>
      <c r="AV18" s="42"/>
      <c r="AW18" s="42"/>
    </row>
    <row r="19" spans="6:49">
      <c r="AM19" s="42"/>
      <c r="AN19" s="42"/>
      <c r="AO19" s="42"/>
      <c r="AP19" s="42"/>
      <c r="AQ19" s="42"/>
      <c r="AR19" s="42"/>
      <c r="AS19" s="42"/>
      <c r="AT19" s="42"/>
      <c r="AU19" s="42"/>
      <c r="AV19" s="42"/>
      <c r="AW19" s="42"/>
    </row>
    <row r="20" spans="6:49">
      <c r="AM20" s="42"/>
      <c r="AN20" s="42"/>
      <c r="AO20" s="42"/>
      <c r="AP20" s="42"/>
      <c r="AQ20" s="42"/>
      <c r="AR20" s="42"/>
      <c r="AS20" s="42"/>
      <c r="AT20" s="42"/>
      <c r="AU20" s="42"/>
      <c r="AV20" s="42"/>
      <c r="AW20" s="42"/>
    </row>
    <row r="21" spans="6:49">
      <c r="AM21" s="42"/>
      <c r="AN21" s="42"/>
      <c r="AO21" s="42"/>
      <c r="AP21" s="42"/>
      <c r="AQ21" s="42"/>
      <c r="AR21" s="42"/>
      <c r="AS21" s="42"/>
      <c r="AT21" s="42"/>
      <c r="AU21" s="42"/>
      <c r="AV21" s="42"/>
      <c r="AW21" s="42"/>
    </row>
    <row r="22" spans="6:49">
      <c r="AM22" s="42"/>
      <c r="AN22" s="42"/>
      <c r="AO22" s="42"/>
      <c r="AP22" s="42"/>
      <c r="AQ22" s="42"/>
      <c r="AR22" s="42"/>
      <c r="AS22" s="42"/>
      <c r="AT22" s="42"/>
      <c r="AU22" s="42"/>
      <c r="AV22" s="42"/>
      <c r="AW22" s="42"/>
    </row>
    <row r="23" spans="6:49">
      <c r="AM23" s="42"/>
      <c r="AN23" s="42"/>
      <c r="AO23" s="42"/>
      <c r="AP23" s="42"/>
      <c r="AQ23" s="42"/>
      <c r="AR23" s="42"/>
      <c r="AS23" s="42"/>
      <c r="AT23" s="42"/>
      <c r="AU23" s="42"/>
      <c r="AV23" s="42"/>
      <c r="AW23" s="42"/>
    </row>
    <row r="237" spans="41:43">
      <c r="AO237" s="19"/>
    </row>
    <row r="238" spans="41:43">
      <c r="AP238" s="19"/>
    </row>
    <row r="239" spans="41:43">
      <c r="AP239" s="19"/>
    </row>
    <row r="240" spans="41:43">
      <c r="AP240" s="19"/>
      <c r="AQ240" s="19"/>
    </row>
    <row r="241" spans="32:56">
      <c r="AP241" s="19"/>
      <c r="AQ241" s="19"/>
      <c r="AR241" s="19"/>
    </row>
    <row r="242" spans="32:56">
      <c r="AP242" s="19"/>
      <c r="AQ242" s="19"/>
      <c r="AR242" s="19"/>
    </row>
    <row r="243" spans="32:56">
      <c r="AO243" s="19"/>
      <c r="AP243" s="19"/>
      <c r="AQ243" s="19"/>
      <c r="AR243" s="19"/>
      <c r="AS243" s="19"/>
      <c r="AT243" s="19"/>
    </row>
    <row r="244" spans="32:56">
      <c r="AO244" s="19"/>
      <c r="AP244" s="19"/>
      <c r="AQ244" s="19"/>
      <c r="AR244" s="19"/>
      <c r="AS244" s="19"/>
      <c r="AT244" s="19"/>
    </row>
    <row r="245" spans="32:56">
      <c r="AM245" s="19"/>
      <c r="AN245" s="19"/>
      <c r="AO245" s="19"/>
      <c r="AP245" s="19"/>
      <c r="AQ245" s="19"/>
      <c r="AR245" s="19"/>
      <c r="AS245" s="19"/>
      <c r="AT245" s="19"/>
      <c r="AU245" s="19"/>
      <c r="AV245" s="19"/>
    </row>
    <row r="246" spans="32:56">
      <c r="AM246" s="19"/>
      <c r="AN246" s="19"/>
      <c r="AO246" s="19"/>
      <c r="AP246" s="19"/>
      <c r="AQ246" s="19"/>
      <c r="AR246" s="19"/>
      <c r="AS246" s="19"/>
      <c r="AT246" s="19"/>
      <c r="AU246" s="19"/>
      <c r="AV246" s="19"/>
    </row>
    <row r="247" spans="32:56">
      <c r="AM247" s="19"/>
      <c r="AN247" s="19"/>
      <c r="AO247" s="19"/>
      <c r="AP247" s="19"/>
      <c r="AQ247" s="19"/>
      <c r="AR247" s="19"/>
      <c r="AS247" s="19"/>
      <c r="AT247" s="19"/>
      <c r="AU247" s="19"/>
      <c r="AV247" s="19"/>
    </row>
    <row r="248" spans="32:56">
      <c r="AL248" s="19"/>
      <c r="AM248" s="19"/>
      <c r="AN248" s="19"/>
      <c r="AO248" s="19"/>
      <c r="AP248" s="19"/>
      <c r="AQ248" s="19"/>
      <c r="AR248" s="19"/>
      <c r="AS248" s="19"/>
      <c r="AT248" s="19"/>
      <c r="AU248" s="19"/>
      <c r="AV248" s="19"/>
      <c r="AW248" s="19"/>
      <c r="AX248" s="19"/>
    </row>
    <row r="249" spans="32:56">
      <c r="AL249" s="19"/>
      <c r="AM249" s="19"/>
      <c r="AN249" s="19"/>
      <c r="AO249" s="19"/>
      <c r="AP249" s="19"/>
      <c r="AQ249" s="19"/>
      <c r="AR249" s="19"/>
      <c r="AS249" s="19"/>
      <c r="AT249" s="19"/>
      <c r="AU249" s="19"/>
      <c r="AV249" s="19"/>
      <c r="AW249" s="19"/>
      <c r="AX249" s="19"/>
    </row>
    <row r="250" spans="32:56">
      <c r="AJ250" s="19"/>
      <c r="AK250" s="19"/>
      <c r="AL250" s="19"/>
      <c r="AM250" s="19"/>
      <c r="AN250" s="19"/>
      <c r="AO250" s="19"/>
      <c r="AP250" s="19"/>
      <c r="AQ250" s="19"/>
      <c r="AR250" s="19"/>
      <c r="AS250" s="19"/>
      <c r="AT250" s="19"/>
      <c r="AU250" s="19"/>
      <c r="AV250" s="19"/>
      <c r="AW250" s="19"/>
      <c r="AX250" s="19"/>
      <c r="AY250" s="19"/>
    </row>
    <row r="251" spans="32:56">
      <c r="AJ251" s="19"/>
      <c r="AK251" s="19"/>
      <c r="AL251" s="19"/>
      <c r="AM251" s="19"/>
      <c r="AN251" s="19"/>
      <c r="AO251" s="19"/>
      <c r="AP251" s="19"/>
      <c r="AQ251" s="19"/>
      <c r="AR251" s="19"/>
      <c r="AS251" s="19"/>
      <c r="AT251" s="19"/>
      <c r="AU251" s="19"/>
      <c r="AV251" s="19"/>
      <c r="AW251" s="19"/>
      <c r="AX251" s="19"/>
      <c r="AY251" s="19"/>
    </row>
    <row r="252" spans="32:56">
      <c r="AI252" s="19"/>
      <c r="AJ252" s="19"/>
      <c r="AK252" s="19"/>
      <c r="AL252" s="19"/>
      <c r="AM252" s="19"/>
      <c r="AN252" s="19"/>
      <c r="AO252" s="19"/>
      <c r="AP252" s="19"/>
      <c r="AQ252" s="19"/>
      <c r="AR252" s="19"/>
      <c r="AS252" s="19"/>
      <c r="AT252" s="19"/>
      <c r="AU252" s="19"/>
      <c r="AV252" s="19"/>
      <c r="AW252" s="19"/>
      <c r="AX252" s="19"/>
      <c r="AY252" s="19"/>
      <c r="AZ252" s="19"/>
    </row>
    <row r="253" spans="32:56">
      <c r="AI253" s="19"/>
      <c r="AJ253" s="19"/>
      <c r="AK253" s="19"/>
      <c r="AL253" s="19"/>
      <c r="AM253" s="19"/>
      <c r="AN253" s="19"/>
      <c r="AO253" s="19"/>
      <c r="AP253" s="19"/>
      <c r="AQ253" s="19"/>
      <c r="AR253" s="19"/>
      <c r="AS253" s="19"/>
      <c r="AT253" s="19"/>
      <c r="AU253" s="19"/>
      <c r="AV253" s="19"/>
      <c r="AW253" s="19"/>
      <c r="AX253" s="19"/>
      <c r="AY253" s="19"/>
      <c r="AZ253" s="19"/>
      <c r="BA253" s="19"/>
      <c r="BB253" s="19"/>
    </row>
    <row r="254" spans="32:56">
      <c r="AI254" s="19"/>
      <c r="AJ254" s="19"/>
      <c r="AK254" s="19"/>
      <c r="AL254" s="19"/>
      <c r="AM254" s="19"/>
      <c r="AN254" s="19"/>
      <c r="AO254" s="19"/>
      <c r="AP254" s="19"/>
      <c r="AQ254" s="19"/>
      <c r="AR254" s="19"/>
      <c r="AS254" s="19"/>
      <c r="AT254" s="19"/>
      <c r="AU254" s="19"/>
      <c r="AV254" s="19"/>
      <c r="AW254" s="19"/>
      <c r="AX254" s="19"/>
      <c r="AY254" s="19"/>
      <c r="AZ254" s="19"/>
      <c r="BA254" s="19"/>
      <c r="BB254" s="19"/>
    </row>
    <row r="255" spans="32:56">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row>
    <row r="256" spans="32:56">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row>
    <row r="257" spans="31:58">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row>
    <row r="258" spans="31:58">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row>
    <row r="259" spans="31:58">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row>
    <row r="260" spans="31:58">
      <c r="AJ260" s="19"/>
      <c r="AK260" s="20"/>
      <c r="AL260" s="20"/>
      <c r="AM260" s="19"/>
      <c r="AN260" s="19"/>
      <c r="AO260" s="19"/>
      <c r="AP260" s="19"/>
      <c r="AQ260" s="19"/>
      <c r="AR260" s="19"/>
      <c r="AS260" s="19"/>
      <c r="AT260" s="19"/>
      <c r="AU260" s="19"/>
      <c r="AV260" s="19"/>
      <c r="AW260" s="19"/>
      <c r="AX260" s="19"/>
      <c r="AY260" s="19"/>
      <c r="AZ260" s="19"/>
      <c r="BA260" s="19"/>
      <c r="BB260" s="19"/>
      <c r="BC260" s="19"/>
    </row>
    <row r="261" spans="31:58">
      <c r="AJ261" s="19"/>
      <c r="AK261" s="19"/>
      <c r="AL261" s="19"/>
      <c r="AM261" s="19"/>
      <c r="AN261" s="19"/>
      <c r="AO261" s="19"/>
      <c r="AP261" s="19"/>
      <c r="AQ261" s="19"/>
      <c r="AR261" s="19"/>
      <c r="AS261" s="19"/>
      <c r="AT261" s="19"/>
      <c r="AU261" s="19"/>
      <c r="AV261" s="19"/>
      <c r="AW261" s="19"/>
      <c r="AX261" s="19"/>
      <c r="AY261" s="19"/>
      <c r="AZ261" s="19"/>
      <c r="BA261" s="19"/>
      <c r="BB261" s="19"/>
      <c r="BC261" s="19"/>
    </row>
    <row r="262" spans="31:58">
      <c r="AJ262" s="19"/>
      <c r="AK262" s="19"/>
      <c r="AL262" s="19"/>
      <c r="AM262" s="19"/>
      <c r="AN262" s="19"/>
      <c r="AO262" s="19"/>
      <c r="AP262" s="19"/>
      <c r="AQ262" s="19"/>
      <c r="AR262" s="19"/>
      <c r="AS262" s="19"/>
      <c r="AT262" s="19"/>
      <c r="AU262" s="19"/>
      <c r="AV262" s="19"/>
      <c r="AW262" s="19"/>
      <c r="AX262" s="19"/>
      <c r="AY262" s="19"/>
      <c r="AZ262" s="19"/>
      <c r="BA262" s="19"/>
      <c r="BB262" s="19"/>
      <c r="BC262" s="19"/>
    </row>
    <row r="263" spans="31:58">
      <c r="AJ263" s="19"/>
      <c r="AK263" s="19"/>
      <c r="AL263" s="19"/>
      <c r="AM263" s="19"/>
      <c r="AN263" s="19"/>
      <c r="AO263" s="19"/>
      <c r="AP263" s="19"/>
      <c r="AQ263" s="19"/>
      <c r="AR263" s="19"/>
      <c r="AS263" s="19"/>
      <c r="AT263" s="19"/>
      <c r="AU263" s="19"/>
      <c r="AV263" s="19"/>
      <c r="AW263" s="19"/>
      <c r="AX263" s="19"/>
      <c r="AY263" s="19"/>
      <c r="AZ263" s="19"/>
      <c r="BA263" s="19"/>
      <c r="BB263" s="19"/>
      <c r="BC263" s="19"/>
    </row>
    <row r="264" spans="31:58">
      <c r="AJ264" s="19"/>
      <c r="AK264" s="19"/>
      <c r="AL264" s="19"/>
      <c r="AM264" s="19"/>
      <c r="AN264" s="19"/>
      <c r="AO264" s="19"/>
      <c r="AP264" s="19"/>
      <c r="AQ264" s="19"/>
      <c r="AR264" s="19"/>
      <c r="AS264" s="19"/>
      <c r="AT264" s="19"/>
      <c r="AU264" s="19"/>
      <c r="AV264" s="19"/>
      <c r="AW264" s="19"/>
      <c r="AX264" s="19"/>
      <c r="AY264" s="19"/>
      <c r="AZ264" s="19"/>
      <c r="BA264" s="19"/>
      <c r="BB264" s="19"/>
      <c r="BC264" s="19"/>
    </row>
    <row r="265" spans="31:58">
      <c r="AJ265" s="19"/>
      <c r="AK265" s="19"/>
      <c r="AL265" s="19"/>
      <c r="AM265" s="19"/>
      <c r="AN265" s="19"/>
      <c r="AO265" s="19"/>
      <c r="AP265" s="19"/>
      <c r="AQ265" s="19"/>
      <c r="AR265" s="19"/>
      <c r="AS265" s="19"/>
      <c r="AT265" s="19"/>
      <c r="AU265" s="19"/>
      <c r="AV265" s="19"/>
      <c r="AW265" s="19"/>
      <c r="AX265" s="19"/>
      <c r="AY265" s="19"/>
      <c r="AZ265" s="19"/>
      <c r="BA265" s="19"/>
      <c r="BB265" s="19"/>
      <c r="BC265" s="19"/>
    </row>
    <row r="266" spans="31:58">
      <c r="AJ266" s="19"/>
      <c r="AK266" s="19"/>
      <c r="AL266" s="19"/>
      <c r="AM266" s="19"/>
      <c r="AN266" s="19"/>
      <c r="AO266" s="19"/>
      <c r="AP266" s="19"/>
      <c r="AQ266" s="19"/>
      <c r="AR266" s="19"/>
      <c r="AS266" s="19"/>
      <c r="AT266" s="19"/>
      <c r="AU266" s="19"/>
      <c r="AV266" s="19"/>
      <c r="AW266" s="19"/>
      <c r="AX266" s="19"/>
      <c r="AY266" s="19"/>
      <c r="AZ266" s="19"/>
      <c r="BA266" s="19"/>
      <c r="BB266" s="19"/>
      <c r="BC266" s="19"/>
    </row>
    <row r="267" spans="31:58">
      <c r="AJ267" s="19"/>
      <c r="AK267" s="19"/>
      <c r="AL267" s="19"/>
      <c r="AM267" s="19"/>
      <c r="AN267" s="19"/>
      <c r="AO267" s="19"/>
      <c r="AP267" s="19"/>
      <c r="AQ267" s="19"/>
      <c r="AR267" s="19"/>
      <c r="AS267" s="19"/>
      <c r="AT267" s="19"/>
      <c r="AU267" s="19"/>
      <c r="AV267" s="19"/>
      <c r="AW267" s="19"/>
      <c r="AX267" s="19"/>
      <c r="AY267" s="19"/>
      <c r="AZ267" s="19"/>
      <c r="BA267" s="19"/>
      <c r="BB267" s="19"/>
      <c r="BC267" s="19"/>
    </row>
    <row r="268" spans="31:58">
      <c r="AK268" s="19"/>
      <c r="AL268" s="19"/>
      <c r="AM268" s="19"/>
      <c r="AN268" s="19"/>
      <c r="AO268" s="19"/>
      <c r="AP268" s="19"/>
      <c r="AQ268" s="19"/>
      <c r="AR268" s="19"/>
      <c r="AS268" s="19"/>
      <c r="AT268" s="19"/>
      <c r="AU268" s="19"/>
      <c r="AV268" s="19"/>
      <c r="AW268" s="19"/>
      <c r="AX268" s="19"/>
      <c r="AY268" s="19"/>
      <c r="AZ268" s="19"/>
      <c r="BA268" s="19"/>
      <c r="BB268" s="19"/>
    </row>
    <row r="269" spans="31:58">
      <c r="AK269" s="19"/>
      <c r="AL269" s="19"/>
      <c r="AM269" s="19"/>
      <c r="AN269" s="19"/>
      <c r="AO269" s="19"/>
      <c r="AP269" s="19"/>
      <c r="AQ269" s="19"/>
      <c r="AR269" s="19"/>
      <c r="AS269" s="19"/>
      <c r="AT269" s="19"/>
      <c r="AU269" s="19"/>
      <c r="AV269" s="19"/>
      <c r="AW269" s="19"/>
      <c r="AX269" s="19"/>
      <c r="AY269" s="19"/>
      <c r="AZ269" s="19"/>
      <c r="BA269" s="19"/>
      <c r="BB269" s="19"/>
    </row>
    <row r="270" spans="31:58">
      <c r="AK270" s="19"/>
      <c r="AL270" s="19"/>
      <c r="AM270" s="19"/>
      <c r="AN270" s="19"/>
      <c r="AO270" s="19"/>
      <c r="AP270" s="19"/>
      <c r="AQ270" s="19"/>
      <c r="AR270" s="19"/>
      <c r="AS270" s="19"/>
      <c r="AT270" s="19"/>
      <c r="AU270" s="19"/>
      <c r="AV270" s="19"/>
      <c r="AW270" s="19"/>
      <c r="AX270" s="19"/>
      <c r="AY270" s="19"/>
      <c r="AZ270" s="19"/>
      <c r="BA270" s="19"/>
      <c r="BB270" s="19"/>
    </row>
    <row r="271" spans="31:58">
      <c r="AK271" s="19"/>
      <c r="AL271" s="19"/>
      <c r="AM271" s="19"/>
      <c r="AN271" s="19"/>
      <c r="AO271" s="19"/>
      <c r="AP271" s="19"/>
      <c r="AQ271" s="19"/>
      <c r="AR271" s="19"/>
      <c r="AS271" s="19"/>
      <c r="AT271" s="19"/>
      <c r="AU271" s="19"/>
      <c r="AV271" s="19"/>
      <c r="AW271" s="19"/>
      <c r="AX271" s="19"/>
      <c r="AY271" s="19"/>
      <c r="AZ271" s="19"/>
      <c r="BA271" s="19"/>
      <c r="BB271" s="19"/>
    </row>
    <row r="272" spans="31:58">
      <c r="AK272" s="19"/>
      <c r="AL272" s="19"/>
      <c r="AM272" s="19"/>
      <c r="AN272" s="19"/>
      <c r="AO272" s="19"/>
      <c r="AP272" s="19"/>
      <c r="AQ272" s="19"/>
      <c r="AR272" s="19"/>
      <c r="AS272" s="19"/>
      <c r="AT272" s="19"/>
      <c r="AU272" s="19"/>
      <c r="AV272" s="19"/>
      <c r="AW272" s="19"/>
      <c r="AX272" s="19"/>
      <c r="AY272" s="19"/>
      <c r="AZ272" s="19"/>
      <c r="BA272" s="19"/>
      <c r="BB272" s="19"/>
    </row>
    <row r="273" spans="24:57">
      <c r="AL273" s="19"/>
      <c r="AM273" s="19"/>
      <c r="AN273" s="19"/>
      <c r="AO273" s="19"/>
      <c r="AP273" s="19"/>
      <c r="AQ273" s="19"/>
      <c r="AR273" s="19"/>
      <c r="AS273" s="19"/>
      <c r="AT273" s="19"/>
      <c r="AU273" s="19"/>
      <c r="AV273" s="19"/>
      <c r="AW273" s="19"/>
      <c r="AX273" s="19"/>
      <c r="AY273" s="19"/>
      <c r="AZ273" s="19"/>
      <c r="BA273" s="19"/>
    </row>
    <row r="274" spans="24:57">
      <c r="AL274" s="19"/>
      <c r="AM274" s="19"/>
      <c r="AN274" s="19"/>
      <c r="AO274" s="19"/>
      <c r="AP274" s="19"/>
      <c r="AQ274" s="19"/>
      <c r="AR274" s="19"/>
      <c r="AS274" s="19"/>
      <c r="AT274" s="19"/>
      <c r="AU274" s="19"/>
      <c r="AV274" s="19"/>
      <c r="AW274" s="19"/>
      <c r="AX274" s="19"/>
      <c r="AY274" s="19"/>
      <c r="AZ274" s="19"/>
      <c r="BA274" s="19"/>
    </row>
    <row r="275" spans="24:57">
      <c r="AL275" s="19"/>
      <c r="AM275" s="19"/>
      <c r="AN275" s="19"/>
      <c r="AO275" s="19"/>
      <c r="AP275" s="19"/>
      <c r="AQ275" s="19"/>
      <c r="AR275" s="19"/>
      <c r="AS275" s="19"/>
      <c r="AT275" s="19"/>
      <c r="AU275" s="19"/>
      <c r="AV275" s="19"/>
      <c r="AW275" s="19"/>
      <c r="AX275" s="19"/>
      <c r="AY275" s="19"/>
      <c r="AZ275" s="19"/>
      <c r="BA275" s="19"/>
    </row>
    <row r="276" spans="24:57">
      <c r="X276" s="19"/>
      <c r="Y276" s="19"/>
      <c r="Z276" s="19"/>
      <c r="AA276" s="19"/>
      <c r="AB276" s="19"/>
      <c r="AC276" s="19"/>
      <c r="AD276" s="19"/>
      <c r="AL276" s="19"/>
      <c r="AM276" s="19"/>
      <c r="AN276" s="19"/>
      <c r="AO276" s="19"/>
      <c r="AP276" s="19"/>
      <c r="AQ276" s="19"/>
      <c r="AR276" s="19"/>
      <c r="AS276" s="19"/>
      <c r="AT276" s="19"/>
      <c r="AU276" s="19"/>
      <c r="AV276" s="19"/>
      <c r="AW276" s="19"/>
      <c r="AX276" s="19"/>
      <c r="AY276" s="19"/>
      <c r="AZ276" s="19"/>
      <c r="BA276" s="19"/>
    </row>
    <row r="277" spans="24:57">
      <c r="Z277" s="19"/>
      <c r="AA277" s="19"/>
      <c r="AB277" s="19"/>
      <c r="AC277" s="19"/>
      <c r="AD277" s="19"/>
      <c r="AL277" s="19"/>
      <c r="AM277" s="19"/>
      <c r="AN277" s="19"/>
      <c r="AO277" s="19"/>
      <c r="AP277" s="19"/>
      <c r="AQ277" s="19"/>
      <c r="AR277" s="19"/>
      <c r="AS277" s="19"/>
      <c r="AT277" s="19"/>
      <c r="AU277" s="19"/>
      <c r="AV277" s="19"/>
      <c r="AW277" s="19"/>
      <c r="AX277" s="19"/>
      <c r="AY277" s="19"/>
      <c r="AZ277" s="19"/>
      <c r="BA277" s="19"/>
    </row>
    <row r="278" spans="24:57">
      <c r="AA278" s="19"/>
      <c r="AB278" s="19"/>
      <c r="AC278" s="19"/>
      <c r="AD278" s="19"/>
      <c r="AM278" s="19"/>
      <c r="AN278" s="19"/>
      <c r="AO278" s="19"/>
      <c r="AP278" s="19"/>
      <c r="AQ278" s="19"/>
      <c r="AR278" s="19"/>
      <c r="AS278" s="19"/>
      <c r="AT278" s="19"/>
      <c r="AU278" s="19"/>
      <c r="AV278" s="19"/>
      <c r="AW278" s="19"/>
      <c r="AX278" s="19"/>
      <c r="AY278" s="19"/>
      <c r="AZ278" s="19"/>
    </row>
    <row r="279" spans="24:57">
      <c r="AA279" s="19"/>
      <c r="AB279" s="19"/>
      <c r="AC279" s="19"/>
      <c r="AD279" s="19"/>
      <c r="AM279" s="19"/>
      <c r="AN279" s="19"/>
      <c r="AO279" s="19"/>
      <c r="AP279" s="19"/>
      <c r="AQ279" s="19"/>
      <c r="AR279" s="19"/>
      <c r="AS279" s="19"/>
      <c r="AT279" s="19"/>
      <c r="AU279" s="19"/>
      <c r="AV279" s="19"/>
      <c r="AW279" s="19"/>
      <c r="AX279" s="19"/>
      <c r="AY279" s="19"/>
      <c r="AZ279" s="19"/>
    </row>
    <row r="280" spans="24:57">
      <c r="AC280" s="19"/>
      <c r="AD280" s="19"/>
      <c r="AM280" s="19"/>
      <c r="AN280" s="19"/>
      <c r="AO280" s="19"/>
      <c r="AP280" s="19"/>
      <c r="AQ280" s="19"/>
      <c r="AR280" s="19"/>
      <c r="AS280" s="19"/>
      <c r="AT280" s="19"/>
      <c r="AU280" s="19"/>
      <c r="AV280" s="19"/>
      <c r="AW280" s="19"/>
      <c r="AX280" s="19"/>
      <c r="AY280" s="19"/>
      <c r="AZ280" s="19"/>
    </row>
    <row r="281" spans="24:57">
      <c r="AC281" s="19"/>
      <c r="AD281" s="19"/>
      <c r="AM281" s="19"/>
      <c r="AN281" s="19"/>
      <c r="AO281" s="19"/>
      <c r="AP281" s="19"/>
      <c r="AQ281" s="19"/>
      <c r="AR281" s="19"/>
      <c r="AS281" s="19"/>
      <c r="AT281" s="19"/>
      <c r="AU281" s="19"/>
      <c r="AV281" s="19"/>
      <c r="AW281" s="19"/>
      <c r="AX281" s="19"/>
      <c r="AY281" s="19"/>
      <c r="AZ281" s="19"/>
    </row>
    <row r="282" spans="24:57">
      <c r="AC282" s="19"/>
      <c r="AD282" s="19"/>
      <c r="AM282" s="19"/>
      <c r="AN282" s="19"/>
      <c r="AO282" s="19"/>
      <c r="AP282" s="19"/>
      <c r="AQ282" s="19"/>
      <c r="AR282" s="19"/>
      <c r="AS282" s="19"/>
      <c r="AT282" s="19"/>
      <c r="AU282" s="19"/>
      <c r="AV282" s="19"/>
      <c r="AW282" s="19"/>
      <c r="AX282" s="19"/>
      <c r="AY282" s="19"/>
      <c r="AZ282" s="19"/>
    </row>
    <row r="283" spans="24:57">
      <c r="AC283" s="19"/>
      <c r="AD283" s="19"/>
      <c r="AM283" s="19"/>
      <c r="AN283" s="19"/>
      <c r="AO283" s="19"/>
      <c r="AP283" s="19"/>
      <c r="AQ283" s="19"/>
      <c r="AR283" s="19"/>
      <c r="AS283" s="19"/>
      <c r="AT283" s="19"/>
      <c r="AU283" s="19"/>
      <c r="AV283" s="19"/>
      <c r="AW283" s="19"/>
      <c r="AX283" s="19"/>
      <c r="AY283" s="19"/>
      <c r="AZ283" s="19"/>
    </row>
    <row r="284" spans="24:57">
      <c r="AC284" s="19"/>
      <c r="AD284" s="19"/>
      <c r="AO284" s="19"/>
      <c r="AP284" s="19"/>
      <c r="AQ284" s="19"/>
      <c r="AR284" s="19"/>
      <c r="AS284" s="19"/>
      <c r="AT284" s="19"/>
      <c r="AU284" s="19"/>
      <c r="AV284" s="19"/>
      <c r="AW284" s="19"/>
      <c r="AX284" s="19"/>
      <c r="AY284" s="19"/>
      <c r="AZ284" s="19"/>
    </row>
    <row r="285" spans="24:57">
      <c r="AC285" s="19"/>
      <c r="AD285" s="19"/>
      <c r="AO285" s="19"/>
      <c r="AP285" s="19"/>
      <c r="AQ285" s="19"/>
      <c r="AR285" s="19"/>
      <c r="AS285" s="19"/>
      <c r="AT285" s="19"/>
      <c r="AU285" s="19"/>
      <c r="AV285" s="19"/>
      <c r="AW285" s="19"/>
      <c r="AX285" s="19"/>
      <c r="AY285" s="19"/>
      <c r="AZ285" s="19"/>
    </row>
    <row r="286" spans="24:57">
      <c r="AC286" s="19"/>
      <c r="AD286" s="19"/>
      <c r="AO286" s="19"/>
      <c r="AP286" s="19"/>
      <c r="AQ286" s="19"/>
      <c r="AR286" s="19"/>
      <c r="AS286" s="19"/>
      <c r="AT286" s="19"/>
      <c r="AU286" s="19"/>
      <c r="AV286" s="19"/>
      <c r="AW286" s="19"/>
      <c r="AX286" s="19"/>
      <c r="AY286" s="19"/>
      <c r="AZ286" s="19"/>
    </row>
    <row r="287" spans="24:57">
      <c r="AC287" s="19"/>
      <c r="AD287" s="19"/>
      <c r="AO287" s="19"/>
      <c r="AP287" s="19"/>
      <c r="AQ287" s="19"/>
      <c r="AR287" s="19"/>
      <c r="AS287" s="19"/>
      <c r="AT287" s="19"/>
      <c r="AU287" s="19"/>
      <c r="AV287" s="19"/>
      <c r="AW287" s="19"/>
      <c r="AX287" s="19"/>
      <c r="AY287" s="19"/>
      <c r="AZ287" s="19"/>
      <c r="BA287" s="19"/>
      <c r="BB287" s="19"/>
      <c r="BC287" s="19"/>
      <c r="BD287" s="19"/>
      <c r="BE287" s="19"/>
    </row>
    <row r="288" spans="24:57">
      <c r="AC288" s="19"/>
      <c r="AD288" s="19"/>
      <c r="AO288" s="19"/>
      <c r="AP288" s="19"/>
      <c r="AQ288" s="19"/>
      <c r="AR288" s="19"/>
      <c r="AS288" s="19"/>
      <c r="AT288" s="19"/>
      <c r="AU288" s="19"/>
      <c r="AV288" s="19"/>
      <c r="AW288" s="19"/>
      <c r="AX288" s="19"/>
      <c r="AY288" s="19"/>
      <c r="AZ288" s="19"/>
      <c r="BA288" s="19"/>
      <c r="BB288" s="19"/>
      <c r="BC288" s="19"/>
      <c r="BD288" s="19"/>
      <c r="BE288" s="19"/>
    </row>
    <row r="289" spans="29:72">
      <c r="AC289" s="19"/>
      <c r="AD289" s="19"/>
      <c r="AO289" s="19"/>
      <c r="AP289" s="19"/>
      <c r="AQ289" s="19"/>
      <c r="AR289" s="19"/>
      <c r="AS289" s="19"/>
      <c r="AT289" s="19"/>
      <c r="AU289" s="19"/>
      <c r="AV289" s="19"/>
      <c r="AW289" s="19"/>
      <c r="AX289" s="19"/>
      <c r="AY289" s="19"/>
      <c r="AZ289" s="19"/>
      <c r="BA289" s="19"/>
      <c r="BB289" s="19"/>
      <c r="BC289" s="19"/>
      <c r="BD289" s="19"/>
      <c r="BE289" s="19"/>
    </row>
    <row r="290" spans="29:72">
      <c r="AC290" s="19"/>
      <c r="AD290" s="19"/>
      <c r="AO290" s="19"/>
      <c r="AP290" s="19"/>
      <c r="AQ290" s="19"/>
      <c r="AR290" s="19"/>
      <c r="AS290" s="19"/>
      <c r="AT290" s="19"/>
      <c r="AU290" s="19"/>
      <c r="AV290" s="19"/>
      <c r="AW290" s="19"/>
      <c r="AX290" s="19"/>
      <c r="AY290" s="19"/>
      <c r="AZ290" s="19"/>
      <c r="BA290" s="19"/>
      <c r="BB290" s="19"/>
      <c r="BC290" s="19"/>
      <c r="BD290" s="19"/>
      <c r="BE290" s="19"/>
    </row>
    <row r="291" spans="29:72">
      <c r="AC291" s="19"/>
      <c r="AD291" s="19"/>
      <c r="AO291" s="19"/>
      <c r="AP291" s="19"/>
      <c r="AQ291" s="19"/>
      <c r="AR291" s="19"/>
      <c r="AS291" s="19"/>
      <c r="AT291" s="19"/>
      <c r="AU291" s="19"/>
      <c r="AV291" s="19"/>
      <c r="AW291" s="19"/>
      <c r="AX291" s="19"/>
      <c r="AY291" s="19"/>
      <c r="AZ291" s="19"/>
      <c r="BA291" s="19"/>
      <c r="BB291" s="19"/>
      <c r="BC291" s="19"/>
      <c r="BD291" s="19"/>
      <c r="BE291" s="19"/>
    </row>
    <row r="292" spans="29:72">
      <c r="AC292" s="19"/>
      <c r="AD292" s="19"/>
      <c r="AO292" s="19"/>
      <c r="AP292" s="19"/>
      <c r="AQ292" s="19"/>
      <c r="AR292" s="19"/>
      <c r="AS292" s="19"/>
      <c r="AT292" s="19"/>
      <c r="AU292" s="19"/>
      <c r="AV292" s="19"/>
      <c r="AW292" s="19"/>
      <c r="AX292" s="19"/>
      <c r="AY292" s="19"/>
      <c r="AZ292" s="19"/>
      <c r="BA292" s="19"/>
      <c r="BB292" s="19"/>
      <c r="BC292" s="19"/>
      <c r="BD292" s="19"/>
      <c r="BE292" s="19"/>
    </row>
    <row r="293" spans="29:72">
      <c r="AC293" s="19"/>
      <c r="AD293" s="19"/>
      <c r="AO293" s="19"/>
      <c r="AP293" s="19"/>
      <c r="AQ293" s="19"/>
      <c r="AR293" s="19"/>
      <c r="AS293" s="19"/>
      <c r="AT293" s="19"/>
      <c r="AU293" s="19"/>
      <c r="AV293" s="19"/>
      <c r="AW293" s="19"/>
      <c r="AX293" s="19"/>
      <c r="AY293" s="19"/>
      <c r="AZ293" s="19"/>
      <c r="BA293" s="19"/>
      <c r="BB293" s="19"/>
      <c r="BC293" s="19"/>
      <c r="BD293" s="19"/>
      <c r="BE293" s="19"/>
    </row>
    <row r="294" spans="29:72">
      <c r="AC294" s="19"/>
      <c r="AD294" s="19"/>
      <c r="AO294" s="19"/>
      <c r="AP294" s="19"/>
      <c r="AQ294" s="19"/>
      <c r="AR294" s="19"/>
      <c r="AS294" s="19"/>
      <c r="AT294" s="19"/>
      <c r="AU294" s="19"/>
      <c r="AV294" s="19"/>
      <c r="AW294" s="19"/>
      <c r="AX294" s="19"/>
      <c r="AY294" s="19"/>
      <c r="AZ294" s="19"/>
      <c r="BA294" s="19"/>
      <c r="BB294" s="19"/>
      <c r="BC294" s="19"/>
      <c r="BD294" s="19"/>
      <c r="BE294" s="19"/>
    </row>
    <row r="295" spans="29:72">
      <c r="AC295" s="19"/>
      <c r="AD295" s="19"/>
      <c r="AO295" s="19"/>
      <c r="AP295" s="19"/>
      <c r="AQ295" s="19"/>
      <c r="AR295" s="19"/>
      <c r="AS295" s="19"/>
      <c r="AT295" s="19"/>
      <c r="AU295" s="19"/>
      <c r="AV295" s="19"/>
      <c r="AW295" s="19"/>
      <c r="AX295" s="19"/>
      <c r="AY295" s="19"/>
      <c r="AZ295" s="19"/>
      <c r="BA295" s="19"/>
      <c r="BB295" s="19"/>
      <c r="BC295" s="19"/>
      <c r="BD295" s="19"/>
      <c r="BE295" s="19"/>
    </row>
    <row r="296" spans="29:72">
      <c r="AC296" s="19"/>
      <c r="AD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row>
    <row r="297" spans="29:72">
      <c r="AC297" s="19"/>
      <c r="AD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row>
    <row r="298" spans="29:72">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row>
    <row r="299" spans="29:72">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row>
    <row r="300" spans="29:72">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row>
    <row r="301" spans="29:72">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S301" s="19"/>
      <c r="BT301" s="19"/>
    </row>
    <row r="302" spans="29:72">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S302" s="19"/>
      <c r="BT302" s="19"/>
    </row>
    <row r="303" spans="29:72">
      <c r="AO303" s="19"/>
      <c r="AP303" s="19"/>
      <c r="AQ303" s="19"/>
      <c r="AR303" s="19"/>
      <c r="AS303" s="19"/>
      <c r="AT303" s="19"/>
      <c r="AU303" s="19"/>
      <c r="AV303" s="19"/>
      <c r="AW303" s="19"/>
      <c r="AX303" s="19"/>
      <c r="AY303" s="19"/>
      <c r="AZ303" s="19"/>
      <c r="BA303" s="19"/>
      <c r="BB303" s="19"/>
      <c r="BC303" s="19"/>
      <c r="BD303" s="19"/>
      <c r="BE303" s="19"/>
      <c r="BS303" s="19"/>
      <c r="BT303" s="19"/>
    </row>
    <row r="304" spans="29:72">
      <c r="AO304" s="19"/>
      <c r="AP304" s="19"/>
      <c r="AQ304" s="19"/>
      <c r="AR304" s="19"/>
      <c r="AS304" s="19"/>
      <c r="AT304" s="19"/>
      <c r="AU304" s="19"/>
      <c r="AV304" s="19"/>
      <c r="AW304" s="19"/>
      <c r="AX304" s="19"/>
      <c r="AY304" s="19"/>
      <c r="AZ304" s="19"/>
      <c r="BA304" s="19"/>
      <c r="BB304" s="19"/>
      <c r="BC304" s="19"/>
      <c r="BD304" s="19"/>
      <c r="BE304" s="19"/>
      <c r="BS304" s="19"/>
      <c r="BT304" s="19"/>
    </row>
    <row r="305" spans="41:72">
      <c r="AO305" s="19"/>
      <c r="AP305" s="19"/>
      <c r="AQ305" s="19"/>
      <c r="AR305" s="19"/>
      <c r="AS305" s="19"/>
      <c r="AT305" s="19"/>
      <c r="AU305" s="19"/>
      <c r="AV305" s="19"/>
      <c r="AW305" s="19"/>
      <c r="AX305" s="19"/>
      <c r="AY305" s="19"/>
      <c r="AZ305" s="19"/>
      <c r="BA305" s="19"/>
      <c r="BB305" s="19"/>
      <c r="BC305" s="19"/>
      <c r="BD305" s="19"/>
      <c r="BE305" s="19"/>
      <c r="BS305" s="19"/>
      <c r="BT305" s="19"/>
    </row>
    <row r="306" spans="41:72">
      <c r="AO306" s="19"/>
      <c r="AP306" s="19"/>
      <c r="AQ306" s="19"/>
      <c r="AR306" s="19"/>
      <c r="AS306" s="19"/>
      <c r="AT306" s="19"/>
      <c r="AU306" s="19"/>
      <c r="AV306" s="19"/>
      <c r="AW306" s="19"/>
      <c r="AX306" s="19"/>
      <c r="AY306" s="19"/>
      <c r="AZ306" s="19"/>
      <c r="BA306" s="19"/>
      <c r="BB306" s="19"/>
      <c r="BC306" s="19"/>
      <c r="BD306" s="19"/>
      <c r="BE306" s="19"/>
      <c r="BS306" s="19"/>
      <c r="BT306" s="19"/>
    </row>
    <row r="307" spans="41:72">
      <c r="AO307" s="19"/>
      <c r="AP307" s="19"/>
      <c r="AQ307" s="19"/>
      <c r="AR307" s="19"/>
      <c r="AS307" s="19"/>
      <c r="AT307" s="19"/>
      <c r="AU307" s="19"/>
      <c r="AV307" s="19"/>
      <c r="AW307" s="19"/>
      <c r="AX307" s="19"/>
      <c r="AY307" s="19"/>
      <c r="AZ307" s="19"/>
      <c r="BA307" s="19"/>
      <c r="BB307" s="19"/>
      <c r="BC307" s="19"/>
      <c r="BD307" s="19"/>
      <c r="BE307" s="19"/>
      <c r="BS307" s="19"/>
      <c r="BT307" s="19"/>
    </row>
    <row r="308" spans="41:72">
      <c r="AO308" s="19"/>
      <c r="AP308" s="19"/>
      <c r="AQ308" s="19"/>
      <c r="AR308" s="19"/>
      <c r="AS308" s="19"/>
      <c r="AT308" s="19"/>
      <c r="AU308" s="19"/>
      <c r="AV308" s="19"/>
      <c r="AW308" s="19"/>
      <c r="AX308" s="19"/>
      <c r="AY308" s="19"/>
      <c r="AZ308" s="19"/>
      <c r="BA308" s="19"/>
      <c r="BB308" s="19"/>
      <c r="BC308" s="19"/>
      <c r="BD308" s="19"/>
      <c r="BE308" s="19"/>
      <c r="BS308" s="19"/>
      <c r="BT308" s="19"/>
    </row>
    <row r="309" spans="41:72">
      <c r="AO309" s="19"/>
      <c r="AP309" s="19"/>
      <c r="AQ309" s="19"/>
      <c r="AR309" s="19"/>
      <c r="AS309" s="19"/>
      <c r="AT309" s="19"/>
      <c r="AU309" s="19"/>
      <c r="AV309" s="19"/>
      <c r="AW309" s="19"/>
      <c r="AX309" s="19"/>
      <c r="AY309" s="19"/>
      <c r="AZ309" s="19"/>
      <c r="BA309" s="19"/>
      <c r="BB309" s="19"/>
      <c r="BC309" s="19"/>
      <c r="BD309" s="19"/>
      <c r="BE309" s="19"/>
      <c r="BS309" s="19"/>
      <c r="BT309" s="19"/>
    </row>
    <row r="310" spans="41:72">
      <c r="AO310" s="19"/>
      <c r="AP310" s="19"/>
      <c r="AQ310" s="19"/>
      <c r="AR310" s="19"/>
      <c r="AS310" s="19"/>
      <c r="AT310" s="19"/>
      <c r="AU310" s="19"/>
      <c r="AV310" s="19"/>
      <c r="AW310" s="19"/>
      <c r="AX310" s="19"/>
      <c r="AY310" s="19"/>
      <c r="AZ310" s="19"/>
      <c r="BA310" s="19"/>
      <c r="BB310" s="19"/>
      <c r="BC310" s="19"/>
      <c r="BD310" s="19"/>
      <c r="BE310" s="19"/>
      <c r="BS310" s="19"/>
      <c r="BT310" s="19"/>
    </row>
    <row r="311" spans="41:72">
      <c r="AO311" s="19"/>
      <c r="AP311" s="19"/>
      <c r="AQ311" s="19"/>
      <c r="AR311" s="19"/>
      <c r="AS311" s="19"/>
      <c r="AT311" s="19"/>
      <c r="AU311" s="19"/>
      <c r="AV311" s="19"/>
      <c r="AW311" s="19"/>
      <c r="AX311" s="19"/>
      <c r="AY311" s="19"/>
      <c r="AZ311" s="19"/>
      <c r="BA311" s="19"/>
      <c r="BB311" s="19"/>
      <c r="BC311" s="19"/>
      <c r="BD311" s="19"/>
      <c r="BE311" s="19"/>
      <c r="BS311" s="19"/>
      <c r="BT311" s="19"/>
    </row>
    <row r="312" spans="41:72">
      <c r="AO312" s="19"/>
      <c r="AP312" s="19"/>
      <c r="AQ312" s="19"/>
      <c r="AR312" s="19"/>
      <c r="AS312" s="19"/>
      <c r="AT312" s="19"/>
      <c r="AU312" s="19"/>
      <c r="AV312" s="19"/>
      <c r="AW312" s="19"/>
      <c r="AX312" s="19"/>
      <c r="AY312" s="19"/>
      <c r="AZ312" s="19"/>
      <c r="BA312" s="19"/>
      <c r="BB312" s="19"/>
      <c r="BC312" s="19"/>
      <c r="BD312" s="19"/>
      <c r="BE312" s="19"/>
      <c r="BS312" s="19"/>
      <c r="BT312" s="19"/>
    </row>
    <row r="313" spans="41:72">
      <c r="AO313" s="19"/>
      <c r="AP313" s="19"/>
      <c r="AQ313" s="19"/>
      <c r="AR313" s="19"/>
      <c r="AS313" s="19"/>
      <c r="AT313" s="19"/>
      <c r="AU313" s="19"/>
      <c r="AV313" s="19"/>
      <c r="AW313" s="19"/>
      <c r="AX313" s="19"/>
      <c r="AY313" s="19"/>
      <c r="AZ313" s="19"/>
      <c r="BA313" s="19"/>
      <c r="BB313" s="19"/>
      <c r="BC313" s="19"/>
      <c r="BD313" s="19"/>
      <c r="BE313" s="19"/>
      <c r="BS313" s="19"/>
      <c r="BT313" s="19"/>
    </row>
    <row r="314" spans="41:72">
      <c r="AO314" s="19"/>
      <c r="AP314" s="19"/>
      <c r="AQ314" s="19"/>
      <c r="AR314" s="19"/>
      <c r="AS314" s="19"/>
      <c r="AT314" s="19"/>
      <c r="AU314" s="19"/>
      <c r="AV314" s="19"/>
      <c r="AW314" s="19"/>
      <c r="AX314" s="19"/>
      <c r="AY314" s="19"/>
      <c r="AZ314" s="19"/>
      <c r="BA314" s="19"/>
      <c r="BB314" s="19"/>
      <c r="BC314" s="19"/>
      <c r="BD314" s="19"/>
      <c r="BE314" s="19"/>
      <c r="BS314" s="19"/>
      <c r="BT314" s="19"/>
    </row>
    <row r="315" spans="41:72">
      <c r="AO315" s="19"/>
      <c r="AP315" s="19"/>
      <c r="AQ315" s="19"/>
      <c r="AR315" s="19"/>
      <c r="AS315" s="19"/>
      <c r="AT315" s="19"/>
      <c r="AU315" s="19"/>
      <c r="AV315" s="19"/>
      <c r="AW315" s="19"/>
      <c r="AX315" s="19"/>
      <c r="AY315" s="19"/>
      <c r="AZ315" s="19"/>
      <c r="BA315" s="19"/>
      <c r="BB315" s="19"/>
      <c r="BC315" s="19"/>
      <c r="BD315" s="19"/>
      <c r="BE315" s="19"/>
      <c r="BS315" s="19"/>
      <c r="BT315" s="19"/>
    </row>
    <row r="316" spans="41:72">
      <c r="AO316" s="19"/>
      <c r="AP316" s="19"/>
      <c r="AQ316" s="19"/>
      <c r="AR316" s="19"/>
      <c r="AS316" s="19"/>
      <c r="AT316" s="19"/>
      <c r="AU316" s="19"/>
      <c r="AV316" s="19"/>
      <c r="AW316" s="19"/>
      <c r="AX316" s="19"/>
      <c r="AY316" s="19"/>
      <c r="AZ316" s="19"/>
      <c r="BA316" s="19"/>
      <c r="BB316" s="19"/>
      <c r="BC316" s="19"/>
      <c r="BD316" s="19"/>
      <c r="BE316" s="19"/>
      <c r="BS316" s="19"/>
      <c r="BT316" s="19"/>
    </row>
    <row r="317" spans="41:72">
      <c r="AO317" s="19"/>
      <c r="AP317" s="19"/>
      <c r="AQ317" s="19"/>
      <c r="AR317" s="19"/>
      <c r="AS317" s="19"/>
      <c r="AT317" s="19"/>
      <c r="AU317" s="19"/>
      <c r="AV317" s="19"/>
      <c r="AW317" s="19"/>
      <c r="AX317" s="19"/>
      <c r="AY317" s="19"/>
      <c r="AZ317" s="19"/>
      <c r="BA317" s="19"/>
      <c r="BB317" s="19"/>
      <c r="BC317" s="19"/>
      <c r="BD317" s="19"/>
      <c r="BE317" s="19"/>
      <c r="BS317" s="19"/>
      <c r="BT317" s="19"/>
    </row>
    <row r="318" spans="41:72">
      <c r="AO318" s="19"/>
      <c r="AP318" s="19"/>
      <c r="AQ318" s="19"/>
      <c r="AR318" s="19"/>
      <c r="AS318" s="19"/>
      <c r="AT318" s="19"/>
      <c r="AU318" s="19"/>
      <c r="AV318" s="19"/>
      <c r="AW318" s="19"/>
      <c r="AX318" s="19"/>
      <c r="AY318" s="19"/>
      <c r="AZ318" s="19"/>
      <c r="BA318" s="19"/>
      <c r="BB318" s="19"/>
      <c r="BC318" s="19"/>
      <c r="BD318" s="19"/>
      <c r="BE318" s="19"/>
      <c r="BS318" s="19"/>
      <c r="BT318" s="19"/>
    </row>
    <row r="319" spans="41:72">
      <c r="AO319" s="19"/>
      <c r="AP319" s="19"/>
      <c r="AQ319" s="19"/>
      <c r="AR319" s="19"/>
      <c r="AS319" s="19"/>
      <c r="AT319" s="19"/>
      <c r="AU319" s="19"/>
      <c r="AV319" s="19"/>
      <c r="AW319" s="19"/>
      <c r="AX319" s="19"/>
      <c r="AY319" s="19"/>
      <c r="AZ319" s="19"/>
      <c r="BA319" s="19"/>
      <c r="BB319" s="19"/>
      <c r="BC319" s="19"/>
      <c r="BD319" s="19"/>
      <c r="BE319" s="19"/>
      <c r="BS319" s="19"/>
      <c r="BT319" s="19"/>
    </row>
    <row r="320" spans="41:72">
      <c r="AO320" s="19"/>
      <c r="AP320" s="19"/>
      <c r="AQ320" s="19"/>
      <c r="AR320" s="19"/>
      <c r="AS320" s="19"/>
      <c r="AT320" s="19"/>
      <c r="AU320" s="19"/>
      <c r="AV320" s="19"/>
      <c r="AW320" s="19"/>
      <c r="AX320" s="19"/>
      <c r="AY320" s="19"/>
      <c r="AZ320" s="19"/>
      <c r="BA320" s="19"/>
      <c r="BB320" s="19"/>
      <c r="BC320" s="19"/>
      <c r="BD320" s="19"/>
      <c r="BE320" s="19"/>
      <c r="BS320" s="19"/>
      <c r="BT320" s="19"/>
    </row>
    <row r="321" spans="41:81">
      <c r="AO321" s="19"/>
      <c r="AP321" s="19"/>
      <c r="AQ321" s="19"/>
      <c r="AR321" s="19"/>
      <c r="AS321" s="19"/>
      <c r="AT321" s="19"/>
      <c r="AU321" s="19"/>
      <c r="AV321" s="19"/>
      <c r="AW321" s="19"/>
      <c r="AX321" s="19"/>
      <c r="AY321" s="19"/>
      <c r="AZ321" s="19"/>
      <c r="BA321" s="19"/>
      <c r="BB321" s="19"/>
      <c r="BC321" s="19"/>
      <c r="BD321" s="19"/>
      <c r="BE321" s="19"/>
      <c r="BS321" s="19"/>
      <c r="BT321" s="19"/>
    </row>
    <row r="322" spans="41:81">
      <c r="AO322" s="19"/>
      <c r="AP322" s="19"/>
      <c r="AQ322" s="19"/>
      <c r="AR322" s="19"/>
      <c r="AS322" s="19"/>
      <c r="AT322" s="19"/>
      <c r="AU322" s="19"/>
      <c r="AV322" s="19"/>
      <c r="AW322" s="19"/>
      <c r="AX322" s="19"/>
      <c r="AY322" s="19"/>
      <c r="AZ322" s="19"/>
      <c r="BA322" s="19"/>
      <c r="BB322" s="19"/>
      <c r="BC322" s="19"/>
      <c r="BD322" s="19"/>
      <c r="BE322" s="19"/>
      <c r="BS322" s="19"/>
      <c r="BT322" s="19"/>
    </row>
    <row r="323" spans="41:81">
      <c r="AO323" s="19"/>
      <c r="AP323" s="19"/>
      <c r="AQ323" s="19"/>
      <c r="AR323" s="19"/>
      <c r="AS323" s="19"/>
      <c r="AT323" s="19"/>
      <c r="AU323" s="19"/>
      <c r="AV323" s="19"/>
      <c r="AW323" s="19"/>
      <c r="AX323" s="19"/>
      <c r="AY323" s="19"/>
      <c r="AZ323" s="19"/>
      <c r="BA323" s="19"/>
      <c r="BB323" s="19"/>
      <c r="BC323" s="19"/>
      <c r="BD323" s="19"/>
      <c r="BE323" s="19"/>
      <c r="BS323" s="19"/>
      <c r="BT323" s="19"/>
      <c r="BU323" s="19"/>
      <c r="BV323" s="19"/>
      <c r="BW323" s="19"/>
    </row>
    <row r="324" spans="41:81">
      <c r="AO324" s="19"/>
      <c r="AP324" s="19"/>
      <c r="AQ324" s="19"/>
      <c r="AR324" s="19"/>
      <c r="AS324" s="19"/>
      <c r="AT324" s="19"/>
      <c r="AU324" s="19"/>
      <c r="AV324" s="19"/>
      <c r="AW324" s="19"/>
      <c r="AX324" s="19"/>
      <c r="AY324" s="19"/>
      <c r="AZ324" s="19"/>
      <c r="BA324" s="19"/>
      <c r="BB324" s="19"/>
      <c r="BC324" s="19"/>
      <c r="BD324" s="19"/>
      <c r="BE324" s="19"/>
      <c r="BS324" s="19"/>
      <c r="BT324" s="19"/>
      <c r="BU324" s="19"/>
      <c r="BV324" s="19"/>
      <c r="BW324" s="19"/>
    </row>
    <row r="325" spans="41:81">
      <c r="AO325" s="19"/>
      <c r="AP325" s="19"/>
      <c r="AQ325" s="19"/>
      <c r="AR325" s="19"/>
      <c r="AS325" s="19"/>
      <c r="AT325" s="19"/>
      <c r="AU325" s="19"/>
      <c r="AV325" s="19"/>
      <c r="AW325" s="19"/>
      <c r="AX325" s="19"/>
      <c r="AY325" s="19"/>
      <c r="AZ325" s="19"/>
      <c r="BA325" s="19"/>
      <c r="BB325" s="19"/>
      <c r="BC325" s="19"/>
      <c r="BD325" s="19"/>
      <c r="BE325" s="19"/>
      <c r="BS325" s="19"/>
      <c r="BT325" s="19"/>
      <c r="BU325" s="19"/>
      <c r="BV325" s="19"/>
      <c r="BW325" s="19"/>
      <c r="BX325" s="19"/>
      <c r="BY325" s="19"/>
      <c r="BZ325" s="19"/>
    </row>
    <row r="326" spans="41:81">
      <c r="AO326" s="19"/>
      <c r="AP326" s="19"/>
      <c r="AQ326" s="19"/>
      <c r="AR326" s="19"/>
      <c r="AS326" s="19"/>
      <c r="AT326" s="19"/>
      <c r="AU326" s="19"/>
      <c r="AV326" s="19"/>
      <c r="AW326" s="19"/>
      <c r="AX326" s="19"/>
      <c r="AY326" s="19"/>
      <c r="AZ326" s="19"/>
      <c r="BA326" s="19"/>
      <c r="BB326" s="19"/>
      <c r="BC326" s="19"/>
      <c r="BD326" s="19"/>
      <c r="BE326" s="19"/>
      <c r="BS326" s="19"/>
      <c r="BT326" s="19"/>
      <c r="BU326" s="19"/>
      <c r="BV326" s="19"/>
      <c r="BW326" s="19"/>
      <c r="BX326" s="19"/>
      <c r="BY326" s="19"/>
      <c r="BZ326" s="19"/>
    </row>
    <row r="327" spans="41:81">
      <c r="AO327" s="19"/>
      <c r="AP327" s="19"/>
      <c r="AQ327" s="19"/>
      <c r="AR327" s="19"/>
      <c r="AS327" s="19"/>
      <c r="AT327" s="19"/>
      <c r="AU327" s="19"/>
      <c r="AV327" s="19"/>
      <c r="AW327" s="19"/>
      <c r="AX327" s="19"/>
      <c r="AY327" s="19"/>
      <c r="AZ327" s="19"/>
      <c r="BA327" s="19"/>
      <c r="BB327" s="19"/>
      <c r="BC327" s="19"/>
      <c r="BD327" s="19"/>
      <c r="BE327" s="19"/>
      <c r="BS327" s="19"/>
      <c r="BT327" s="19"/>
      <c r="BU327" s="19"/>
      <c r="BV327" s="19"/>
      <c r="BW327" s="19"/>
      <c r="BX327" s="19"/>
      <c r="BY327" s="19"/>
      <c r="BZ327" s="19"/>
      <c r="CA327" s="19"/>
      <c r="CB327" s="19"/>
      <c r="CC327" s="19"/>
    </row>
    <row r="328" spans="41:81">
      <c r="AO328" s="19"/>
      <c r="AP328" s="19"/>
      <c r="AQ328" s="19"/>
      <c r="AR328" s="19"/>
      <c r="AS328" s="19"/>
      <c r="AT328" s="19"/>
      <c r="AU328" s="19"/>
      <c r="AV328" s="19"/>
      <c r="AW328" s="19"/>
      <c r="AX328" s="19"/>
      <c r="AY328" s="19"/>
      <c r="AZ328" s="19"/>
      <c r="BA328" s="19"/>
      <c r="BB328" s="19"/>
      <c r="BC328" s="19"/>
      <c r="BD328" s="19"/>
      <c r="BE328" s="19"/>
    </row>
    <row r="329" spans="41:81">
      <c r="AO329" s="19"/>
      <c r="AP329" s="19"/>
      <c r="AQ329" s="19"/>
      <c r="AR329" s="19"/>
      <c r="AS329" s="19"/>
      <c r="AT329" s="19"/>
      <c r="AU329" s="19"/>
      <c r="AV329" s="19"/>
      <c r="AW329" s="19"/>
      <c r="AX329" s="19"/>
      <c r="AY329" s="19"/>
      <c r="AZ329" s="19"/>
      <c r="BA329" s="19"/>
      <c r="BB329" s="19"/>
      <c r="BC329" s="19"/>
      <c r="BD329" s="19"/>
      <c r="BE329" s="19"/>
    </row>
    <row r="330" spans="41:81">
      <c r="AO330" s="19"/>
      <c r="AP330" s="19"/>
      <c r="AQ330" s="19"/>
      <c r="AR330" s="19"/>
      <c r="AS330" s="19"/>
      <c r="AT330" s="19"/>
      <c r="AU330" s="19"/>
      <c r="AV330" s="19"/>
      <c r="AW330" s="19"/>
      <c r="AX330" s="19"/>
      <c r="AY330" s="19"/>
      <c r="AZ330" s="19"/>
      <c r="BA330" s="19"/>
      <c r="BB330" s="19"/>
      <c r="BC330" s="19"/>
      <c r="BD330" s="19"/>
      <c r="BE330" s="19"/>
    </row>
    <row r="331" spans="41:81">
      <c r="AO331" s="19"/>
      <c r="AP331" s="19"/>
      <c r="AQ331" s="19"/>
      <c r="AR331" s="19"/>
      <c r="AS331" s="19"/>
      <c r="AT331" s="19"/>
      <c r="AU331" s="19"/>
      <c r="AV331" s="19"/>
      <c r="AW331" s="19"/>
      <c r="AX331" s="19"/>
      <c r="AY331" s="19"/>
      <c r="AZ331" s="19"/>
      <c r="BA331" s="19"/>
      <c r="BB331" s="19"/>
      <c r="BC331" s="19"/>
      <c r="BD331" s="19"/>
      <c r="BE331" s="19"/>
    </row>
    <row r="332" spans="41:81">
      <c r="AO332" s="19"/>
      <c r="AP332" s="19"/>
      <c r="AQ332" s="19"/>
      <c r="AR332" s="19"/>
      <c r="AS332" s="19"/>
      <c r="AT332" s="19"/>
      <c r="AU332" s="19"/>
      <c r="AV332" s="19"/>
      <c r="AW332" s="19"/>
      <c r="AX332" s="19"/>
      <c r="AY332" s="19"/>
      <c r="AZ332" s="19"/>
      <c r="BA332" s="19"/>
      <c r="BB332" s="19"/>
      <c r="BC332" s="19"/>
      <c r="BD332" s="19"/>
      <c r="BE332" s="19"/>
    </row>
    <row r="333" spans="41:81">
      <c r="AO333" s="19"/>
      <c r="AP333" s="19"/>
      <c r="AQ333" s="19"/>
      <c r="AR333" s="19"/>
      <c r="AS333" s="19"/>
      <c r="AT333" s="19"/>
      <c r="AU333" s="19"/>
      <c r="AV333" s="19"/>
      <c r="AW333" s="19"/>
      <c r="AX333" s="19"/>
      <c r="AY333" s="19"/>
      <c r="AZ333" s="19"/>
      <c r="BA333" s="19"/>
      <c r="BB333" s="19"/>
      <c r="BC333" s="19"/>
      <c r="BD333" s="19"/>
      <c r="BE333" s="19"/>
    </row>
    <row r="334" spans="41:81">
      <c r="AO334" s="19"/>
      <c r="AP334" s="19"/>
      <c r="AQ334" s="19"/>
      <c r="AR334" s="19"/>
      <c r="AS334" s="19"/>
      <c r="AT334" s="19"/>
      <c r="AU334" s="19"/>
      <c r="AV334" s="19"/>
      <c r="AW334" s="19"/>
      <c r="AX334" s="19"/>
      <c r="AY334" s="19"/>
      <c r="AZ334" s="19"/>
      <c r="BA334" s="19"/>
      <c r="BB334" s="19"/>
      <c r="BC334" s="19"/>
      <c r="BD334" s="19"/>
      <c r="BE334" s="19"/>
    </row>
    <row r="335" spans="41:81">
      <c r="AO335" s="19"/>
      <c r="AP335" s="19"/>
      <c r="AQ335" s="19"/>
      <c r="AR335" s="19"/>
      <c r="AS335" s="19"/>
      <c r="AT335" s="19"/>
      <c r="AU335" s="19"/>
      <c r="AV335" s="19"/>
      <c r="AW335" s="19"/>
      <c r="AX335" s="19"/>
      <c r="AY335" s="19"/>
      <c r="AZ335" s="19"/>
      <c r="BA335" s="19"/>
      <c r="BB335" s="19"/>
      <c r="BC335" s="19"/>
      <c r="BD335" s="19"/>
      <c r="BE335" s="19"/>
    </row>
    <row r="336" spans="41:81">
      <c r="AO336" s="19"/>
      <c r="AP336" s="19"/>
      <c r="AQ336" s="19"/>
      <c r="AR336" s="19"/>
      <c r="AS336" s="19"/>
      <c r="AT336" s="19"/>
      <c r="AU336" s="19"/>
      <c r="AV336" s="19"/>
      <c r="AW336" s="19"/>
      <c r="AX336" s="19"/>
      <c r="AY336" s="19"/>
      <c r="AZ336" s="19"/>
      <c r="BA336" s="19"/>
      <c r="BB336" s="19"/>
      <c r="BC336" s="19"/>
      <c r="BD336" s="19"/>
      <c r="BE336" s="19"/>
    </row>
    <row r="337" spans="41:57">
      <c r="AO337" s="19"/>
      <c r="AP337" s="19"/>
      <c r="AQ337" s="19"/>
      <c r="AR337" s="19"/>
      <c r="AS337" s="19"/>
      <c r="AT337" s="19"/>
      <c r="AU337" s="19"/>
      <c r="AV337" s="19"/>
      <c r="AW337" s="19"/>
      <c r="AX337" s="19"/>
      <c r="AY337" s="19"/>
      <c r="AZ337" s="19"/>
      <c r="BA337" s="19"/>
      <c r="BB337" s="19"/>
      <c r="BC337" s="19"/>
      <c r="BD337" s="19"/>
      <c r="BE337" s="19"/>
    </row>
    <row r="338" spans="41:57">
      <c r="AO338" s="19"/>
      <c r="AP338" s="19"/>
      <c r="AQ338" s="19"/>
      <c r="AR338" s="19"/>
      <c r="AS338" s="19"/>
      <c r="AT338" s="19"/>
      <c r="AU338" s="19"/>
      <c r="AV338" s="19"/>
      <c r="AW338" s="19"/>
      <c r="AX338" s="19"/>
      <c r="AY338" s="19"/>
      <c r="AZ338" s="19"/>
      <c r="BA338" s="19"/>
      <c r="BB338" s="19"/>
      <c r="BC338" s="19"/>
      <c r="BD338" s="19"/>
      <c r="BE338" s="19"/>
    </row>
    <row r="339" spans="41:57">
      <c r="AO339" s="19"/>
      <c r="AP339" s="19"/>
      <c r="AQ339" s="19"/>
      <c r="AR339" s="19"/>
      <c r="AS339" s="19"/>
      <c r="AT339" s="19"/>
      <c r="AU339" s="19"/>
      <c r="AV339" s="19"/>
      <c r="AW339" s="19"/>
      <c r="AX339" s="19"/>
      <c r="AY339" s="19"/>
      <c r="AZ339" s="19"/>
      <c r="BA339" s="19"/>
      <c r="BB339" s="19"/>
      <c r="BC339" s="19"/>
      <c r="BD339" s="19"/>
      <c r="BE339" s="19"/>
    </row>
    <row r="340" spans="41:57">
      <c r="AO340" s="19"/>
      <c r="AP340" s="19"/>
      <c r="AQ340" s="19"/>
      <c r="AR340" s="19"/>
      <c r="AS340" s="19"/>
      <c r="AT340" s="19"/>
      <c r="AU340" s="19"/>
      <c r="AV340" s="19"/>
      <c r="AW340" s="19"/>
      <c r="AX340" s="19"/>
      <c r="AY340" s="19"/>
      <c r="AZ340" s="19"/>
      <c r="BA340" s="19"/>
      <c r="BB340" s="19"/>
      <c r="BC340" s="19"/>
      <c r="BD340" s="19"/>
      <c r="BE340" s="19"/>
    </row>
    <row r="341" spans="41:57">
      <c r="AO341" s="19"/>
      <c r="AP341" s="19"/>
      <c r="AQ341" s="19"/>
      <c r="AR341" s="19"/>
      <c r="AS341" s="19"/>
      <c r="AT341" s="19"/>
      <c r="AU341" s="19"/>
      <c r="AV341" s="19"/>
      <c r="AW341" s="19"/>
      <c r="AX341" s="19"/>
      <c r="AY341" s="19"/>
      <c r="AZ341" s="19"/>
      <c r="BA341" s="19"/>
      <c r="BB341" s="19"/>
      <c r="BC341" s="19"/>
      <c r="BD341" s="19"/>
      <c r="BE341" s="19"/>
    </row>
    <row r="342" spans="41:57">
      <c r="AO342" s="19"/>
      <c r="AP342" s="19"/>
      <c r="AQ342" s="19"/>
      <c r="AR342" s="19"/>
      <c r="AS342" s="19"/>
      <c r="AT342" s="19"/>
      <c r="AU342" s="19"/>
      <c r="AV342" s="19"/>
      <c r="AW342" s="19"/>
      <c r="AX342" s="19"/>
      <c r="AY342" s="19"/>
      <c r="AZ342" s="19"/>
      <c r="BA342" s="19"/>
      <c r="BB342" s="19"/>
      <c r="BC342" s="19"/>
      <c r="BD342" s="19"/>
      <c r="BE342" s="19"/>
    </row>
    <row r="343" spans="41:57">
      <c r="AO343" s="19"/>
      <c r="AP343" s="19"/>
      <c r="AQ343" s="19"/>
      <c r="AR343" s="19"/>
      <c r="AS343" s="19"/>
      <c r="AT343" s="19"/>
      <c r="AU343" s="19"/>
      <c r="AV343" s="19"/>
      <c r="AW343" s="19"/>
      <c r="AX343" s="19"/>
      <c r="AY343" s="19"/>
      <c r="AZ343" s="19"/>
      <c r="BA343" s="19"/>
      <c r="BB343" s="19"/>
      <c r="BC343" s="19"/>
      <c r="BD343" s="19"/>
      <c r="BE343" s="19"/>
    </row>
    <row r="344" spans="41:57">
      <c r="AO344" s="19"/>
      <c r="AP344" s="19"/>
      <c r="AQ344" s="19"/>
      <c r="AR344" s="19"/>
      <c r="AS344" s="19"/>
      <c r="AT344" s="19"/>
      <c r="AU344" s="19"/>
      <c r="AV344" s="19"/>
      <c r="AW344" s="19"/>
      <c r="AX344" s="19"/>
      <c r="AY344" s="19"/>
      <c r="AZ344" s="19"/>
      <c r="BA344" s="19"/>
      <c r="BB344" s="19"/>
      <c r="BC344" s="19"/>
      <c r="BD344" s="19"/>
      <c r="BE344" s="19"/>
    </row>
    <row r="345" spans="41:57">
      <c r="AO345" s="19"/>
      <c r="AP345" s="19"/>
      <c r="AQ345" s="19"/>
      <c r="AR345" s="19"/>
      <c r="AS345" s="19"/>
      <c r="AT345" s="19"/>
      <c r="AU345" s="19"/>
      <c r="AV345" s="19"/>
      <c r="AW345" s="19"/>
      <c r="AX345" s="19"/>
      <c r="AY345" s="19"/>
      <c r="AZ345" s="19"/>
      <c r="BA345" s="19"/>
      <c r="BB345" s="19"/>
      <c r="BC345" s="19"/>
      <c r="BD345" s="19"/>
      <c r="BE345" s="19"/>
    </row>
    <row r="346" spans="41:57">
      <c r="AO346" s="19"/>
      <c r="AP346" s="19"/>
      <c r="AQ346" s="19"/>
      <c r="AR346" s="19"/>
      <c r="AS346" s="19"/>
      <c r="AT346" s="19"/>
      <c r="AU346" s="19"/>
      <c r="AV346" s="19"/>
      <c r="AW346" s="19"/>
      <c r="AX346" s="19"/>
      <c r="AY346" s="19"/>
      <c r="AZ346" s="19"/>
      <c r="BA346" s="19"/>
      <c r="BB346" s="19"/>
      <c r="BC346" s="19"/>
      <c r="BD346" s="19"/>
      <c r="BE346" s="19"/>
    </row>
    <row r="347" spans="41:57">
      <c r="AO347" s="19"/>
      <c r="AP347" s="19"/>
      <c r="AQ347" s="19"/>
      <c r="AR347" s="19"/>
      <c r="AS347" s="19"/>
      <c r="AT347" s="19"/>
      <c r="AU347" s="19"/>
      <c r="AV347" s="19"/>
      <c r="AW347" s="19"/>
      <c r="AX347" s="19"/>
      <c r="AY347" s="19"/>
      <c r="AZ347" s="19"/>
      <c r="BA347" s="19"/>
      <c r="BB347" s="19"/>
      <c r="BC347" s="19"/>
      <c r="BD347" s="19"/>
      <c r="BE347" s="19"/>
    </row>
    <row r="348" spans="41:57">
      <c r="AO348" s="19"/>
      <c r="AP348" s="19"/>
      <c r="AQ348" s="19"/>
      <c r="AR348" s="19"/>
      <c r="AS348" s="19"/>
      <c r="AT348" s="19"/>
      <c r="AU348" s="19"/>
      <c r="AV348" s="19"/>
      <c r="AW348" s="19"/>
      <c r="AX348" s="19"/>
      <c r="AY348" s="19"/>
      <c r="AZ348" s="19"/>
      <c r="BA348" s="19"/>
      <c r="BB348" s="19"/>
      <c r="BC348" s="19"/>
      <c r="BD348" s="19"/>
      <c r="BE348" s="19"/>
    </row>
    <row r="349" spans="41:57">
      <c r="AO349" s="19"/>
      <c r="AP349" s="19"/>
      <c r="AQ349" s="19"/>
      <c r="AR349" s="19"/>
      <c r="AS349" s="19"/>
      <c r="AT349" s="19"/>
      <c r="AU349" s="19"/>
      <c r="AV349" s="19"/>
      <c r="AW349" s="19"/>
      <c r="AX349" s="19"/>
      <c r="AY349" s="19"/>
      <c r="AZ349" s="19"/>
      <c r="BA349" s="19"/>
      <c r="BB349" s="19"/>
      <c r="BC349" s="19"/>
      <c r="BD349" s="19"/>
      <c r="BE349" s="19"/>
    </row>
    <row r="350" spans="41:57">
      <c r="AO350" s="19"/>
      <c r="AP350" s="19"/>
      <c r="AQ350" s="19"/>
      <c r="AR350" s="19"/>
      <c r="AS350" s="19"/>
      <c r="AT350" s="19"/>
      <c r="AU350" s="19"/>
      <c r="AV350" s="19"/>
      <c r="AW350" s="19"/>
      <c r="AX350" s="19"/>
      <c r="AY350" s="19"/>
      <c r="AZ350" s="19"/>
      <c r="BA350" s="19"/>
      <c r="BB350" s="19"/>
      <c r="BC350" s="19"/>
      <c r="BD350" s="19"/>
      <c r="BE350" s="19"/>
    </row>
    <row r="351" spans="41:57">
      <c r="AO351" s="19"/>
      <c r="AP351" s="19"/>
      <c r="AQ351" s="19"/>
      <c r="AR351" s="19"/>
      <c r="AS351" s="19"/>
      <c r="AT351" s="19"/>
      <c r="AU351" s="19"/>
      <c r="AV351" s="19"/>
      <c r="AW351" s="19"/>
      <c r="AX351" s="19"/>
      <c r="AY351" s="19"/>
      <c r="AZ351" s="19"/>
      <c r="BA351" s="19"/>
      <c r="BB351" s="19"/>
      <c r="BC351" s="19"/>
      <c r="BD351" s="19"/>
      <c r="BE351" s="19"/>
    </row>
    <row r="352" spans="41:57">
      <c r="AO352" s="19"/>
      <c r="AP352" s="19"/>
      <c r="AQ352" s="19"/>
      <c r="AR352" s="19"/>
      <c r="AS352" s="19"/>
      <c r="AT352" s="19"/>
      <c r="AU352" s="19"/>
      <c r="AV352" s="19"/>
      <c r="AW352" s="19"/>
      <c r="AX352" s="19"/>
      <c r="AY352" s="19"/>
      <c r="AZ352" s="19"/>
      <c r="BA352" s="19"/>
      <c r="BB352" s="19"/>
      <c r="BC352" s="19"/>
      <c r="BD352" s="19"/>
      <c r="BE352" s="19"/>
    </row>
    <row r="353" spans="41:57">
      <c r="AO353" s="19"/>
      <c r="AP353" s="19"/>
      <c r="AQ353" s="19"/>
      <c r="AR353" s="19"/>
      <c r="AS353" s="19"/>
      <c r="AT353" s="19"/>
      <c r="AU353" s="19"/>
      <c r="AV353" s="19"/>
      <c r="AW353" s="19"/>
      <c r="AX353" s="19"/>
      <c r="AY353" s="19"/>
      <c r="AZ353" s="19"/>
      <c r="BA353" s="19"/>
      <c r="BB353" s="19"/>
      <c r="BC353" s="19"/>
      <c r="BD353" s="19"/>
      <c r="BE353" s="19"/>
    </row>
    <row r="354" spans="41:57">
      <c r="AO354" s="19"/>
      <c r="AP354" s="19"/>
      <c r="AQ354" s="19"/>
      <c r="AR354" s="19"/>
      <c r="AS354" s="19"/>
      <c r="AT354" s="19"/>
      <c r="AU354" s="19"/>
      <c r="AV354" s="19"/>
      <c r="AW354" s="19"/>
      <c r="AX354" s="19"/>
      <c r="AY354" s="19"/>
      <c r="AZ354" s="19"/>
      <c r="BA354" s="19"/>
      <c r="BB354" s="19"/>
      <c r="BC354" s="19"/>
      <c r="BD354" s="19"/>
      <c r="BE354" s="19"/>
    </row>
    <row r="355" spans="41:57">
      <c r="AO355" s="19"/>
      <c r="AP355" s="19"/>
      <c r="AQ355" s="19"/>
      <c r="AR355" s="19"/>
      <c r="AS355" s="19"/>
      <c r="AT355" s="19"/>
      <c r="AU355" s="19"/>
      <c r="AV355" s="19"/>
      <c r="AW355" s="19"/>
      <c r="AX355" s="19"/>
      <c r="AY355" s="19"/>
      <c r="AZ355" s="19"/>
      <c r="BA355" s="19"/>
      <c r="BB355" s="19"/>
      <c r="BC355" s="19"/>
      <c r="BD355" s="19"/>
      <c r="BE355" s="19"/>
    </row>
    <row r="356" spans="41:57">
      <c r="AO356" s="19"/>
      <c r="AP356" s="19"/>
      <c r="AQ356" s="19"/>
      <c r="AR356" s="19"/>
      <c r="AS356" s="19"/>
      <c r="AT356" s="19"/>
      <c r="AU356" s="19"/>
      <c r="AV356" s="19"/>
      <c r="AW356" s="19"/>
      <c r="AX356" s="19"/>
      <c r="AY356" s="19"/>
      <c r="AZ356" s="19"/>
      <c r="BA356" s="19"/>
      <c r="BB356" s="19"/>
      <c r="BC356" s="19"/>
      <c r="BD356" s="19"/>
      <c r="BE356" s="19"/>
    </row>
    <row r="357" spans="41:57">
      <c r="AO357" s="19"/>
      <c r="AP357" s="19"/>
      <c r="AQ357" s="19"/>
      <c r="AR357" s="19"/>
      <c r="AS357" s="19"/>
      <c r="AT357" s="19"/>
      <c r="AU357" s="19"/>
      <c r="AV357" s="19"/>
      <c r="AW357" s="19"/>
      <c r="AX357" s="19"/>
      <c r="AY357" s="19"/>
      <c r="AZ357" s="19"/>
      <c r="BA357" s="19"/>
      <c r="BB357" s="19"/>
      <c r="BC357" s="19"/>
      <c r="BD357" s="19"/>
      <c r="BE357" s="19"/>
    </row>
    <row r="358" spans="41:57">
      <c r="AO358" s="19"/>
      <c r="AP358" s="19"/>
      <c r="AQ358" s="19"/>
      <c r="AR358" s="19"/>
      <c r="AS358" s="19"/>
      <c r="AT358" s="19"/>
      <c r="AU358" s="19"/>
      <c r="AV358" s="19"/>
      <c r="AW358" s="19"/>
      <c r="AX358" s="19"/>
      <c r="AY358" s="19"/>
      <c r="AZ358" s="19"/>
      <c r="BA358" s="19"/>
      <c r="BB358" s="19"/>
      <c r="BC358" s="19"/>
      <c r="BD358" s="19"/>
      <c r="BE358" s="19"/>
    </row>
    <row r="359" spans="41:57">
      <c r="AO359" s="19"/>
      <c r="AP359" s="19"/>
      <c r="AQ359" s="19"/>
      <c r="AR359" s="19"/>
      <c r="AS359" s="19"/>
      <c r="AT359" s="19"/>
      <c r="AU359" s="19"/>
      <c r="AV359" s="19"/>
      <c r="AW359" s="19"/>
      <c r="AX359" s="19"/>
      <c r="AY359" s="19"/>
      <c r="AZ359" s="19"/>
      <c r="BA359" s="19"/>
      <c r="BB359" s="19"/>
      <c r="BC359" s="19"/>
      <c r="BD359" s="19"/>
      <c r="BE359" s="19"/>
    </row>
    <row r="360" spans="41:57">
      <c r="AO360" s="19"/>
      <c r="AP360" s="19"/>
      <c r="AQ360" s="19"/>
      <c r="AR360" s="19"/>
      <c r="AS360" s="19"/>
      <c r="AT360" s="19"/>
      <c r="AU360" s="19"/>
      <c r="AV360" s="19"/>
      <c r="AW360" s="19"/>
      <c r="AX360" s="19"/>
      <c r="AY360" s="19"/>
      <c r="AZ360" s="19"/>
      <c r="BA360" s="19"/>
      <c r="BB360" s="19"/>
      <c r="BC360" s="19"/>
      <c r="BD360" s="19"/>
      <c r="BE360" s="19"/>
    </row>
    <row r="361" spans="41:57">
      <c r="AO361" s="19"/>
      <c r="AP361" s="19"/>
      <c r="AQ361" s="19"/>
      <c r="AR361" s="19"/>
      <c r="AS361" s="19"/>
      <c r="AT361" s="19"/>
      <c r="AU361" s="19"/>
      <c r="AV361" s="19"/>
      <c r="AW361" s="19"/>
      <c r="AX361" s="19"/>
      <c r="AY361" s="19"/>
      <c r="AZ361" s="19"/>
      <c r="BA361" s="19"/>
      <c r="BB361" s="19"/>
      <c r="BC361" s="19"/>
      <c r="BD361" s="19"/>
      <c r="BE361" s="19"/>
    </row>
    <row r="362" spans="41:57">
      <c r="AO362" s="19"/>
      <c r="AP362" s="19"/>
      <c r="AQ362" s="19"/>
      <c r="AR362" s="19"/>
      <c r="AS362" s="19"/>
      <c r="AT362" s="19"/>
      <c r="AU362" s="19"/>
      <c r="AV362" s="19"/>
      <c r="AW362" s="19"/>
      <c r="AX362" s="19"/>
      <c r="AY362" s="19"/>
      <c r="AZ362" s="19"/>
      <c r="BA362" s="19"/>
      <c r="BB362" s="19"/>
      <c r="BC362" s="19"/>
      <c r="BD362" s="19"/>
      <c r="BE362" s="19"/>
    </row>
    <row r="363" spans="41:57">
      <c r="AO363" s="19"/>
      <c r="AP363" s="19"/>
      <c r="AQ363" s="19"/>
      <c r="AR363" s="19"/>
      <c r="AS363" s="19"/>
      <c r="AT363" s="19"/>
      <c r="AU363" s="19"/>
      <c r="AV363" s="19"/>
      <c r="AW363" s="19"/>
      <c r="AX363" s="19"/>
      <c r="AY363" s="19"/>
      <c r="AZ363" s="19"/>
      <c r="BA363" s="19"/>
      <c r="BB363" s="19"/>
      <c r="BC363" s="19"/>
      <c r="BD363" s="19"/>
      <c r="BE363" s="19"/>
    </row>
    <row r="364" spans="41:57">
      <c r="AO364" s="19"/>
      <c r="AP364" s="19"/>
      <c r="AQ364" s="19"/>
      <c r="AR364" s="19"/>
      <c r="AS364" s="19"/>
      <c r="AT364" s="19"/>
      <c r="AU364" s="19"/>
      <c r="AV364" s="19"/>
      <c r="AW364" s="19"/>
      <c r="AX364" s="19"/>
      <c r="AY364" s="19"/>
      <c r="AZ364" s="19"/>
      <c r="BA364" s="19"/>
      <c r="BB364" s="19"/>
      <c r="BC364" s="19"/>
      <c r="BD364" s="19"/>
      <c r="BE364" s="19"/>
    </row>
    <row r="365" spans="41:57">
      <c r="AO365" s="19"/>
      <c r="AP365" s="19"/>
      <c r="AQ365" s="19"/>
      <c r="AR365" s="19"/>
      <c r="AS365" s="19"/>
      <c r="AT365" s="19"/>
      <c r="AU365" s="19"/>
      <c r="AV365" s="19"/>
      <c r="AW365" s="19"/>
      <c r="AX365" s="19"/>
      <c r="AY365" s="19"/>
      <c r="AZ365" s="19"/>
      <c r="BA365" s="19"/>
      <c r="BB365" s="19"/>
      <c r="BC365" s="19"/>
      <c r="BD365" s="19"/>
      <c r="BE365" s="19"/>
    </row>
    <row r="366" spans="41:57">
      <c r="AO366" s="19"/>
      <c r="AP366" s="19"/>
      <c r="AQ366" s="19"/>
      <c r="AR366" s="19"/>
      <c r="AS366" s="19"/>
      <c r="AT366" s="19"/>
      <c r="AU366" s="19"/>
      <c r="AV366" s="19"/>
      <c r="AW366" s="19"/>
      <c r="AX366" s="19"/>
      <c r="AY366" s="19"/>
      <c r="AZ366" s="19"/>
      <c r="BA366" s="19"/>
      <c r="BB366" s="19"/>
      <c r="BC366" s="19"/>
      <c r="BD366" s="19"/>
      <c r="BE366" s="19"/>
    </row>
    <row r="367" spans="41:57">
      <c r="AO367" s="19"/>
      <c r="AP367" s="19"/>
      <c r="AQ367" s="19"/>
      <c r="AR367" s="19"/>
      <c r="AS367" s="19"/>
      <c r="AT367" s="19"/>
      <c r="AU367" s="19"/>
      <c r="AV367" s="19"/>
      <c r="AW367" s="19"/>
      <c r="AX367" s="19"/>
      <c r="AY367" s="19"/>
      <c r="AZ367" s="19"/>
      <c r="BA367" s="19"/>
      <c r="BB367" s="19"/>
      <c r="BC367" s="19"/>
      <c r="BD367" s="19"/>
      <c r="BE367" s="19"/>
    </row>
    <row r="368" spans="41:57">
      <c r="AO368" s="19"/>
      <c r="AP368" s="19"/>
      <c r="AQ368" s="19"/>
      <c r="AR368" s="19"/>
      <c r="AS368" s="19"/>
      <c r="AT368" s="19"/>
      <c r="AU368" s="19"/>
      <c r="AV368" s="19"/>
      <c r="AW368" s="19"/>
      <c r="AX368" s="19"/>
      <c r="AY368" s="19"/>
      <c r="AZ368" s="19"/>
      <c r="BA368" s="19"/>
      <c r="BB368" s="19"/>
      <c r="BC368" s="19"/>
      <c r="BD368" s="19"/>
      <c r="BE368" s="19"/>
    </row>
    <row r="369" spans="41:57">
      <c r="AO369" s="19"/>
      <c r="AP369" s="19"/>
      <c r="AQ369" s="19"/>
      <c r="AR369" s="19"/>
      <c r="AS369" s="19"/>
      <c r="AT369" s="19"/>
      <c r="AU369" s="19"/>
      <c r="AV369" s="19"/>
      <c r="AW369" s="19"/>
      <c r="AX369" s="19"/>
      <c r="AY369" s="19"/>
      <c r="AZ369" s="19"/>
      <c r="BA369" s="19"/>
      <c r="BB369" s="19"/>
      <c r="BC369" s="19"/>
      <c r="BD369" s="19"/>
      <c r="BE369" s="19"/>
    </row>
    <row r="370" spans="41:57">
      <c r="AO370" s="19"/>
      <c r="AP370" s="19"/>
      <c r="AQ370" s="19"/>
      <c r="AR370" s="19"/>
      <c r="AS370" s="19"/>
      <c r="AT370" s="19"/>
      <c r="AU370" s="19"/>
      <c r="AV370" s="19"/>
      <c r="AW370" s="19"/>
      <c r="AX370" s="19"/>
      <c r="AY370" s="19"/>
      <c r="AZ370" s="19"/>
      <c r="BA370" s="19"/>
      <c r="BB370" s="19"/>
      <c r="BC370" s="19"/>
      <c r="BD370" s="19"/>
      <c r="BE370" s="19"/>
    </row>
    <row r="371" spans="41:57">
      <c r="AO371" s="19"/>
      <c r="AP371" s="19"/>
      <c r="AQ371" s="19"/>
      <c r="AR371" s="19"/>
      <c r="AS371" s="19"/>
      <c r="AT371" s="19"/>
      <c r="AU371" s="19"/>
      <c r="AV371" s="19"/>
      <c r="AW371" s="19"/>
      <c r="AX371" s="19"/>
      <c r="AY371" s="19"/>
      <c r="AZ371" s="19"/>
      <c r="BA371" s="19"/>
      <c r="BB371" s="19"/>
      <c r="BC371" s="19"/>
      <c r="BD371" s="19"/>
      <c r="BE371" s="19"/>
    </row>
    <row r="372" spans="41:57">
      <c r="AO372" s="19"/>
      <c r="AP372" s="19"/>
      <c r="AQ372" s="19"/>
      <c r="AR372" s="19"/>
      <c r="AS372" s="19"/>
      <c r="AT372" s="19"/>
      <c r="AU372" s="19"/>
      <c r="AV372" s="19"/>
      <c r="AW372" s="19"/>
      <c r="AX372" s="19"/>
      <c r="AY372" s="19"/>
      <c r="AZ372" s="19"/>
      <c r="BA372" s="19"/>
      <c r="BB372" s="19"/>
      <c r="BC372" s="19"/>
      <c r="BD372" s="19"/>
      <c r="BE372" s="19"/>
    </row>
    <row r="373" spans="41:57">
      <c r="AO373" s="19"/>
      <c r="AP373" s="19"/>
      <c r="AQ373" s="19"/>
      <c r="AR373" s="19"/>
      <c r="AS373" s="19"/>
      <c r="AT373" s="19"/>
      <c r="AU373" s="19"/>
      <c r="AV373" s="19"/>
      <c r="AW373" s="19"/>
      <c r="AX373" s="19"/>
      <c r="AY373" s="19"/>
      <c r="AZ373" s="19"/>
      <c r="BA373" s="19"/>
      <c r="BB373" s="19"/>
      <c r="BC373" s="19"/>
      <c r="BD373" s="19"/>
      <c r="BE373" s="19"/>
    </row>
    <row r="374" spans="41:57">
      <c r="AO374" s="19"/>
      <c r="AP374" s="19"/>
      <c r="AQ374" s="19"/>
      <c r="AR374" s="19"/>
      <c r="AS374" s="19"/>
      <c r="AT374" s="19"/>
      <c r="AU374" s="19"/>
      <c r="AV374" s="19"/>
      <c r="AW374" s="19"/>
      <c r="AX374" s="19"/>
      <c r="AY374" s="19"/>
      <c r="AZ374" s="19"/>
      <c r="BA374" s="19"/>
      <c r="BB374" s="19"/>
      <c r="BC374" s="19"/>
      <c r="BD374" s="19"/>
      <c r="BE374" s="19"/>
    </row>
    <row r="375" spans="41:57">
      <c r="AO375" s="19"/>
      <c r="AP375" s="19"/>
      <c r="AQ375" s="19"/>
      <c r="AR375" s="19"/>
      <c r="AS375" s="19"/>
      <c r="AT375" s="19"/>
      <c r="AU375" s="19"/>
      <c r="AV375" s="19"/>
      <c r="AW375" s="19"/>
      <c r="AX375" s="19"/>
      <c r="AY375" s="19"/>
      <c r="AZ375" s="19"/>
      <c r="BA375" s="19"/>
      <c r="BB375" s="19"/>
      <c r="BC375" s="19"/>
      <c r="BD375" s="19"/>
      <c r="BE375" s="19"/>
    </row>
    <row r="376" spans="41:57">
      <c r="AO376" s="19"/>
      <c r="AP376" s="19"/>
      <c r="AQ376" s="19"/>
      <c r="AR376" s="19"/>
      <c r="AS376" s="19"/>
      <c r="AT376" s="19"/>
      <c r="AU376" s="19"/>
      <c r="AV376" s="19"/>
      <c r="AW376" s="19"/>
      <c r="AX376" s="19"/>
      <c r="AY376" s="19"/>
      <c r="AZ376" s="19"/>
      <c r="BA376" s="19"/>
      <c r="BB376" s="19"/>
      <c r="BC376" s="19"/>
      <c r="BD376" s="19"/>
      <c r="BE376" s="19"/>
    </row>
    <row r="377" spans="41:57">
      <c r="AO377" s="19"/>
      <c r="AP377" s="19"/>
      <c r="AQ377" s="19"/>
      <c r="AR377" s="19"/>
      <c r="AS377" s="19"/>
      <c r="AT377" s="19"/>
      <c r="AU377" s="19"/>
      <c r="AV377" s="19"/>
      <c r="AW377" s="19"/>
      <c r="AX377" s="19"/>
      <c r="AY377" s="19"/>
      <c r="AZ377" s="19"/>
      <c r="BA377" s="19"/>
      <c r="BB377" s="19"/>
      <c r="BC377" s="19"/>
      <c r="BD377" s="19"/>
      <c r="BE377" s="19"/>
    </row>
    <row r="378" spans="41:57">
      <c r="AO378" s="19"/>
      <c r="AP378" s="19"/>
      <c r="AQ378" s="19"/>
      <c r="AR378" s="19"/>
      <c r="AS378" s="19"/>
      <c r="AT378" s="19"/>
      <c r="AU378" s="19"/>
      <c r="AV378" s="19"/>
      <c r="AW378" s="19"/>
      <c r="AX378" s="19"/>
      <c r="AY378" s="19"/>
      <c r="AZ378" s="19"/>
      <c r="BA378" s="19"/>
      <c r="BB378" s="19"/>
      <c r="BC378" s="19"/>
      <c r="BD378" s="19"/>
      <c r="BE378" s="19"/>
    </row>
    <row r="379" spans="41:57">
      <c r="AO379" s="19"/>
      <c r="AP379" s="19"/>
      <c r="AQ379" s="19"/>
      <c r="AR379" s="19"/>
      <c r="AS379" s="19"/>
      <c r="AT379" s="19"/>
      <c r="AU379" s="19"/>
      <c r="AV379" s="19"/>
      <c r="AW379" s="19"/>
      <c r="AX379" s="19"/>
      <c r="AY379" s="19"/>
      <c r="AZ379" s="19"/>
      <c r="BA379" s="19"/>
      <c r="BB379" s="19"/>
      <c r="BC379" s="19"/>
      <c r="BD379" s="19"/>
      <c r="BE379" s="19"/>
    </row>
    <row r="380" spans="41:57">
      <c r="AO380" s="19"/>
      <c r="AP380" s="19"/>
      <c r="AQ380" s="19"/>
      <c r="AR380" s="19"/>
      <c r="AS380" s="19"/>
      <c r="AT380" s="19"/>
      <c r="AU380" s="19"/>
      <c r="AV380" s="19"/>
      <c r="AW380" s="19"/>
      <c r="AX380" s="19"/>
      <c r="AY380" s="19"/>
      <c r="AZ380" s="19"/>
      <c r="BA380" s="19"/>
      <c r="BB380" s="19"/>
      <c r="BC380" s="19"/>
      <c r="BD380" s="19"/>
      <c r="BE380" s="19"/>
    </row>
    <row r="381" spans="41:57">
      <c r="AO381" s="19"/>
      <c r="AP381" s="19"/>
      <c r="AQ381" s="19"/>
      <c r="AR381" s="19"/>
      <c r="AS381" s="19"/>
      <c r="AT381" s="19"/>
      <c r="AU381" s="19"/>
      <c r="AV381" s="19"/>
      <c r="AW381" s="19"/>
      <c r="AX381" s="19"/>
      <c r="AY381" s="19"/>
      <c r="AZ381" s="19"/>
      <c r="BA381" s="19"/>
      <c r="BB381" s="19"/>
      <c r="BC381" s="19"/>
      <c r="BD381" s="19"/>
      <c r="BE381" s="19"/>
    </row>
    <row r="382" spans="41:57">
      <c r="AO382" s="19"/>
      <c r="AP382" s="19"/>
      <c r="AQ382" s="19"/>
      <c r="AR382" s="19"/>
      <c r="AS382" s="19"/>
      <c r="AT382" s="19"/>
      <c r="AU382" s="19"/>
      <c r="AV382" s="19"/>
      <c r="AW382" s="19"/>
      <c r="AX382" s="19"/>
      <c r="AY382" s="19"/>
      <c r="AZ382" s="19"/>
      <c r="BA382" s="19"/>
      <c r="BB382" s="19"/>
      <c r="BC382" s="19"/>
      <c r="BD382" s="19"/>
      <c r="BE382" s="19"/>
    </row>
    <row r="383" spans="41:57">
      <c r="AO383" s="19"/>
      <c r="AP383" s="19"/>
      <c r="AQ383" s="19"/>
      <c r="AR383" s="19"/>
      <c r="AS383" s="19"/>
      <c r="AT383" s="19"/>
      <c r="AU383" s="19"/>
      <c r="AV383" s="19"/>
      <c r="AW383" s="19"/>
      <c r="AX383" s="19"/>
      <c r="AY383" s="19"/>
      <c r="AZ383" s="19"/>
      <c r="BA383" s="19"/>
      <c r="BB383" s="19"/>
      <c r="BC383" s="19"/>
      <c r="BD383" s="19"/>
      <c r="BE383" s="19"/>
    </row>
    <row r="384" spans="41:57">
      <c r="AO384" s="19"/>
      <c r="AP384" s="19"/>
      <c r="AQ384" s="19"/>
      <c r="AR384" s="19"/>
      <c r="AS384" s="19"/>
      <c r="AT384" s="19"/>
      <c r="AU384" s="19"/>
      <c r="AV384" s="19"/>
      <c r="AW384" s="19"/>
      <c r="AX384" s="19"/>
      <c r="AY384" s="19"/>
      <c r="AZ384" s="19"/>
      <c r="BA384" s="19"/>
      <c r="BB384" s="19"/>
      <c r="BC384" s="19"/>
      <c r="BD384" s="19"/>
      <c r="BE384" s="19"/>
    </row>
    <row r="385" spans="32:57">
      <c r="AO385" s="19"/>
      <c r="AP385" s="19"/>
      <c r="AQ385" s="19"/>
      <c r="AR385" s="19"/>
      <c r="AS385" s="19"/>
      <c r="AT385" s="19"/>
      <c r="AU385" s="19"/>
      <c r="AV385" s="19"/>
      <c r="AW385" s="19"/>
      <c r="AX385" s="19"/>
      <c r="AY385" s="19"/>
      <c r="AZ385" s="19"/>
      <c r="BA385" s="19"/>
      <c r="BB385" s="19"/>
      <c r="BC385" s="19"/>
      <c r="BD385" s="19"/>
      <c r="BE385" s="19"/>
    </row>
    <row r="386" spans="32:57">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row>
    <row r="387" spans="32:57">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row>
    <row r="388" spans="32:57">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row>
    <row r="389" spans="32:57">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row>
    <row r="390" spans="32:57">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row>
    <row r="391" spans="32:57">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row>
    <row r="392" spans="32:57">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row>
    <row r="393" spans="32:57">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row>
    <row r="394" spans="32:57">
      <c r="AF394" s="19"/>
      <c r="AG394" s="19"/>
      <c r="BC394" s="19"/>
      <c r="BD394" s="19"/>
      <c r="BE394" s="19"/>
    </row>
    <row r="395" spans="32:57">
      <c r="AF395" s="19"/>
      <c r="AG395" s="19"/>
      <c r="BC395" s="19"/>
      <c r="BD395" s="19"/>
      <c r="BE395" s="19"/>
    </row>
    <row r="396" spans="32:57">
      <c r="AF396" s="19"/>
      <c r="AG396" s="19"/>
      <c r="BC396" s="19"/>
      <c r="BD396" s="19"/>
      <c r="BE396" s="19"/>
    </row>
    <row r="397" spans="32:57">
      <c r="AF397" s="19"/>
      <c r="AG397" s="19"/>
      <c r="BC397" s="19"/>
      <c r="BD397" s="19"/>
      <c r="BE397" s="19"/>
    </row>
    <row r="398" spans="32:57">
      <c r="AF398" s="19"/>
      <c r="AG398" s="19"/>
      <c r="BC398" s="19"/>
      <c r="BD398" s="19"/>
      <c r="BE398" s="19"/>
    </row>
    <row r="399" spans="32:57">
      <c r="AF399" s="19"/>
      <c r="AG399" s="19"/>
      <c r="BC399" s="19"/>
      <c r="BD399" s="19"/>
      <c r="BE399" s="19"/>
    </row>
    <row r="400" spans="32:57">
      <c r="AF400" s="19"/>
      <c r="AG400" s="19"/>
      <c r="BC400" s="19"/>
      <c r="BD400" s="19"/>
      <c r="BE400" s="19"/>
    </row>
    <row r="401" spans="32:57">
      <c r="AF401" s="19"/>
      <c r="AG401" s="19"/>
      <c r="BC401" s="19"/>
      <c r="BD401" s="19"/>
      <c r="BE401" s="19"/>
    </row>
    <row r="402" spans="32:57">
      <c r="AF402" s="19"/>
      <c r="AG402" s="19"/>
      <c r="BC402" s="19"/>
      <c r="BD402" s="19"/>
      <c r="BE402" s="19"/>
    </row>
    <row r="403" spans="32:57">
      <c r="AF403" s="19"/>
      <c r="AG403" s="19"/>
      <c r="BC403" s="19"/>
      <c r="BD403" s="19"/>
      <c r="BE403" s="19"/>
    </row>
    <row r="404" spans="32:57">
      <c r="AF404" s="19"/>
      <c r="AG404" s="19"/>
      <c r="BC404" s="19"/>
      <c r="BD404" s="19"/>
      <c r="BE404" s="19"/>
    </row>
    <row r="405" spans="32:57">
      <c r="AF405" s="19"/>
      <c r="AG405" s="19"/>
      <c r="BC405" s="19"/>
      <c r="BD405" s="19"/>
      <c r="BE405" s="19"/>
    </row>
    <row r="406" spans="32:57">
      <c r="AF406" s="19"/>
      <c r="AG406" s="19"/>
      <c r="BC406" s="19"/>
      <c r="BD406" s="19"/>
      <c r="BE406" s="19"/>
    </row>
    <row r="407" spans="32:57">
      <c r="AF407" s="19"/>
      <c r="AG407" s="19"/>
      <c r="BC407" s="19"/>
      <c r="BD407" s="19"/>
      <c r="BE407" s="19"/>
    </row>
    <row r="408" spans="32:57">
      <c r="AF408" s="19"/>
      <c r="AG408" s="19"/>
      <c r="BC408" s="19"/>
      <c r="BD408" s="19"/>
      <c r="BE408" s="19"/>
    </row>
    <row r="409" spans="32:57">
      <c r="AF409" s="19"/>
      <c r="AG409" s="19"/>
      <c r="BC409" s="19"/>
      <c r="BD409" s="19"/>
      <c r="BE409" s="19"/>
    </row>
    <row r="410" spans="32:57">
      <c r="AF410" s="19"/>
      <c r="AG410" s="19"/>
      <c r="BC410" s="19"/>
      <c r="BD410" s="19"/>
      <c r="BE410" s="19"/>
    </row>
    <row r="411" spans="32:57">
      <c r="AF411" s="19"/>
      <c r="AG411" s="19"/>
      <c r="BC411" s="19"/>
      <c r="BD411" s="19"/>
      <c r="BE411" s="19"/>
    </row>
    <row r="412" spans="32:57">
      <c r="AF412" s="19"/>
      <c r="AG412" s="19"/>
      <c r="BC412" s="19"/>
      <c r="BD412" s="19"/>
      <c r="BE412" s="19"/>
    </row>
    <row r="413" spans="32:57">
      <c r="AF413" s="19"/>
      <c r="AG413" s="19"/>
      <c r="BC413" s="19"/>
      <c r="BD413" s="19"/>
      <c r="BE413" s="19"/>
    </row>
    <row r="414" spans="32:57">
      <c r="AF414" s="19"/>
      <c r="AG414" s="19"/>
      <c r="BC414" s="19"/>
      <c r="BD414" s="19"/>
      <c r="BE414" s="19"/>
    </row>
    <row r="415" spans="32:57">
      <c r="AF415" s="19"/>
      <c r="AG415" s="19"/>
      <c r="BC415" s="19"/>
      <c r="BD415" s="19"/>
      <c r="BE415" s="19"/>
    </row>
    <row r="416" spans="32:57">
      <c r="AF416" s="19"/>
      <c r="AG416" s="19"/>
      <c r="BC416" s="19"/>
      <c r="BD416" s="19"/>
      <c r="BE416" s="19"/>
    </row>
    <row r="417" spans="26:66">
      <c r="AF417" s="19"/>
      <c r="AG417" s="19"/>
      <c r="BC417" s="19"/>
      <c r="BD417" s="19"/>
      <c r="BE417" s="19"/>
    </row>
    <row r="418" spans="26:66">
      <c r="AF418" s="19"/>
      <c r="AG418" s="19"/>
      <c r="BC418" s="19"/>
      <c r="BD418" s="19"/>
      <c r="BE418" s="19"/>
    </row>
    <row r="419" spans="26:66">
      <c r="AF419" s="19"/>
      <c r="AG419" s="19"/>
      <c r="BC419" s="19"/>
      <c r="BD419" s="19"/>
      <c r="BE419" s="19"/>
    </row>
    <row r="420" spans="26:66">
      <c r="AF420" s="19"/>
      <c r="AG420" s="19"/>
      <c r="BC420" s="19"/>
      <c r="BD420" s="19"/>
      <c r="BE420" s="19"/>
    </row>
    <row r="421" spans="26:66">
      <c r="AF421" s="19"/>
      <c r="AG421" s="19"/>
      <c r="BC421" s="19"/>
      <c r="BD421" s="19"/>
      <c r="BE421" s="19"/>
    </row>
    <row r="422" spans="26:66">
      <c r="AF422" s="19"/>
      <c r="AG422" s="19"/>
      <c r="BC422" s="19"/>
      <c r="BD422" s="19"/>
      <c r="BE422" s="19"/>
    </row>
    <row r="423" spans="26:66">
      <c r="AF423" s="19"/>
      <c r="AG423" s="19"/>
      <c r="BC423" s="19"/>
      <c r="BD423" s="19"/>
      <c r="BE423" s="19"/>
      <c r="BF423" s="19"/>
      <c r="BG423" s="19"/>
      <c r="BH423" s="19"/>
      <c r="BI423" s="19"/>
      <c r="BJ423" s="19"/>
      <c r="BK423" s="19"/>
      <c r="BL423" s="19"/>
      <c r="BM423" s="19"/>
      <c r="BN423" s="19"/>
    </row>
    <row r="424" spans="26:66">
      <c r="AF424" s="19"/>
      <c r="AG424" s="19"/>
      <c r="BC424" s="19"/>
      <c r="BD424" s="19"/>
      <c r="BE424" s="19"/>
      <c r="BF424" s="19"/>
      <c r="BG424" s="19"/>
      <c r="BH424" s="19"/>
      <c r="BI424" s="19"/>
      <c r="BJ424" s="19"/>
      <c r="BK424" s="19"/>
      <c r="BL424" s="19"/>
      <c r="BM424" s="19"/>
      <c r="BN424" s="19"/>
    </row>
    <row r="425" spans="26:66">
      <c r="AF425" s="19"/>
      <c r="AG425" s="19"/>
      <c r="BC425" s="19"/>
      <c r="BD425" s="19"/>
      <c r="BE425" s="19"/>
      <c r="BF425" s="19"/>
      <c r="BG425" s="19"/>
      <c r="BH425" s="19"/>
      <c r="BI425" s="19"/>
      <c r="BJ425" s="19"/>
      <c r="BK425" s="19"/>
      <c r="BL425" s="19"/>
      <c r="BM425" s="19"/>
      <c r="BN425" s="19"/>
    </row>
    <row r="426" spans="26:66">
      <c r="AF426" s="19"/>
      <c r="AG426" s="19"/>
      <c r="BC426" s="19"/>
      <c r="BD426" s="19"/>
      <c r="BE426" s="19"/>
      <c r="BF426" s="19"/>
      <c r="BG426" s="19"/>
      <c r="BH426" s="19"/>
      <c r="BI426" s="19"/>
      <c r="BJ426" s="19"/>
      <c r="BK426" s="19"/>
      <c r="BL426" s="19"/>
      <c r="BM426" s="19"/>
      <c r="BN426" s="19"/>
    </row>
    <row r="427" spans="26:66">
      <c r="AF427" s="19"/>
      <c r="AG427" s="19"/>
      <c r="BC427" s="19"/>
      <c r="BD427" s="19"/>
      <c r="BE427" s="19"/>
      <c r="BF427" s="19"/>
      <c r="BG427" s="19"/>
      <c r="BH427" s="19"/>
      <c r="BI427" s="19"/>
      <c r="BJ427" s="19"/>
      <c r="BK427" s="19"/>
      <c r="BL427" s="19"/>
      <c r="BM427" s="19"/>
      <c r="BN427" s="19"/>
    </row>
    <row r="428" spans="26:66">
      <c r="AB428" s="19"/>
      <c r="AC428" s="19"/>
      <c r="AD428" s="19"/>
      <c r="AE428" s="19"/>
      <c r="AF428" s="19"/>
      <c r="AG428" s="19"/>
      <c r="BK428" s="19"/>
      <c r="BL428" s="19"/>
      <c r="BM428" s="19"/>
      <c r="BN428" s="19"/>
    </row>
    <row r="429" spans="26:66">
      <c r="AA429" s="19"/>
      <c r="AB429" s="19"/>
      <c r="AC429" s="19"/>
      <c r="AD429" s="19"/>
      <c r="AE429" s="19"/>
      <c r="AF429" s="19"/>
      <c r="AG429" s="19"/>
      <c r="BK429" s="19"/>
      <c r="BL429" s="19"/>
      <c r="BM429" s="19"/>
      <c r="BN429" s="19"/>
    </row>
    <row r="430" spans="26:66">
      <c r="AA430" s="19"/>
      <c r="AB430" s="19"/>
      <c r="AC430" s="19"/>
      <c r="AD430" s="19"/>
      <c r="AE430" s="19"/>
      <c r="AF430" s="19"/>
      <c r="AG430" s="19"/>
      <c r="BK430" s="19"/>
      <c r="BL430" s="19"/>
      <c r="BM430" s="19"/>
      <c r="BN430" s="19"/>
    </row>
    <row r="431" spans="26:66">
      <c r="Z431" s="19"/>
      <c r="AA431" s="19"/>
      <c r="AB431" s="19"/>
      <c r="AC431" s="19"/>
      <c r="AD431" s="19"/>
      <c r="AE431" s="19"/>
      <c r="AF431" s="19"/>
      <c r="AG431" s="19"/>
      <c r="BK431" s="19"/>
      <c r="BL431" s="19"/>
      <c r="BM431" s="19"/>
      <c r="BN431" s="19"/>
    </row>
    <row r="432" spans="26:66">
      <c r="Z432" s="19"/>
      <c r="AA432" s="19"/>
      <c r="AB432" s="19"/>
      <c r="AC432" s="19"/>
      <c r="AD432" s="19"/>
      <c r="AE432" s="19"/>
      <c r="AF432" s="19"/>
      <c r="AG432" s="19"/>
      <c r="BK432" s="19"/>
      <c r="BL432" s="19"/>
      <c r="BM432" s="19"/>
      <c r="BN432" s="19"/>
    </row>
    <row r="433" spans="63:66">
      <c r="BK433" s="19"/>
      <c r="BL433" s="19"/>
      <c r="BM433" s="19"/>
      <c r="BN433" s="19"/>
    </row>
    <row r="434" spans="63:66">
      <c r="BK434" s="19"/>
      <c r="BL434" s="19"/>
      <c r="BM434" s="19"/>
      <c r="BN434" s="19"/>
    </row>
    <row r="435" spans="63:66">
      <c r="BK435" s="19"/>
      <c r="BL435" s="19"/>
      <c r="BM435" s="19"/>
      <c r="BN435" s="19"/>
    </row>
    <row r="436" spans="63:66">
      <c r="BL436" s="19"/>
      <c r="BM436" s="19"/>
      <c r="BN436" s="19"/>
    </row>
    <row r="437" spans="63:66">
      <c r="BL437" s="19"/>
      <c r="BM437" s="19"/>
      <c r="BN437" s="19"/>
    </row>
    <row r="438" spans="63:66">
      <c r="BL438" s="19"/>
      <c r="BM438" s="19"/>
      <c r="BN438" s="19"/>
    </row>
    <row r="439" spans="63:66">
      <c r="BL439" s="19"/>
      <c r="BM439" s="19"/>
      <c r="BN439" s="19"/>
    </row>
    <row r="440" spans="63:66">
      <c r="BM440" s="19"/>
      <c r="BN440" s="19"/>
    </row>
    <row r="441" spans="63:66">
      <c r="BM441" s="19"/>
      <c r="BN441" s="19"/>
    </row>
    <row r="442" spans="63:66">
      <c r="BM442" s="19"/>
      <c r="BN442" s="19"/>
    </row>
    <row r="443" spans="63:66">
      <c r="BN443" s="19"/>
    </row>
    <row r="444" spans="63:66">
      <c r="BN444" s="19"/>
    </row>
    <row r="445" spans="63:66">
      <c r="BN445" s="19"/>
    </row>
    <row r="446" spans="63:66">
      <c r="BN446" s="19"/>
    </row>
    <row r="447" spans="63:66">
      <c r="BN447" s="19"/>
    </row>
    <row r="448" spans="63:66">
      <c r="BN448" s="19"/>
    </row>
  </sheetData>
  <mergeCells count="1">
    <mergeCell ref="G5:M6"/>
  </mergeCells>
  <dataValidations count="5">
    <dataValidation type="list" allowBlank="1" showInputMessage="1" showErrorMessage="1" sqref="L16 Z7" xr:uid="{0D8866DA-FE9E-4470-B608-0DE69DBC1AFE}">
      <formula1>"Bank Transfer, Cash, Credit Card, Mobile Money"</formula1>
    </dataValidation>
    <dataValidation type="list" allowBlank="1" showInputMessage="1" showErrorMessage="1" sqref="L12 X7" xr:uid="{FEC4AFBE-05CD-429A-83FF-128C92AE2316}">
      <formula1>"Completed, Returned"</formula1>
    </dataValidation>
    <dataValidation type="list" allowBlank="1" showInputMessage="1" showErrorMessage="1" sqref="L14 Y7" xr:uid="{A0BE58B6-2953-46E8-B368-F6C735820092}">
      <formula1>"Antarctica, Australia, Brazil, China, Nigeria, United Kingdom, United States"</formula1>
    </dataValidation>
    <dataValidation type="list" allowBlank="1" showInputMessage="1" showErrorMessage="1" sqref="I12 S7" xr:uid="{DEABDB89-3B24-44CE-93C8-F5D1AD3236F0}">
      <formula1>"Biography, Camera, Cereal, Children's Book, Cookbook, Curtains, Cushion, Dress, Fiction, Headphones, Jacket, Jeans, Juice, Laptop, Milk, Non-Fiction, Pasta, Rice, Smartphone, Sneakers, Table Lamp, Tablet, T-Shirt, Vase, Wall Art"</formula1>
    </dataValidation>
    <dataValidation type="list" allowBlank="1" showInputMessage="1" showErrorMessage="1" sqref="I10 R7" xr:uid="{35A52CD0-7171-46C2-BD16-AE90E3EE312D}">
      <formula1>"Apparel, Books, Electronics, Groceries, Home Decor"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ubmit">
                <anchor moveWithCells="1" sizeWithCells="1">
                  <from>
                    <xdr:col>8</xdr:col>
                    <xdr:colOff>1066800</xdr:colOff>
                    <xdr:row>16</xdr:row>
                    <xdr:rowOff>68580</xdr:rowOff>
                  </from>
                  <to>
                    <xdr:col>10</xdr:col>
                    <xdr:colOff>381000</xdr:colOff>
                    <xdr:row>16</xdr:row>
                    <xdr:rowOff>358140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0FD67-7361-4508-9F9D-130946A2772A}">
  <sheetPr codeName="Sheet2"/>
  <dimension ref="E15:P64"/>
  <sheetViews>
    <sheetView topLeftCell="A13" zoomScale="70" zoomScaleNormal="70" workbookViewId="0">
      <selection activeCell="L7" sqref="L7:M7"/>
    </sheetView>
  </sheetViews>
  <sheetFormatPr defaultRowHeight="14.4"/>
  <cols>
    <col min="5" max="5" width="22.109375" customWidth="1"/>
    <col min="6" max="6" width="17.77734375" customWidth="1"/>
    <col min="7" max="7" width="16.5546875" bestFit="1" customWidth="1"/>
    <col min="8" max="8" width="34.21875" customWidth="1"/>
    <col min="9" max="9" width="19.21875" customWidth="1"/>
    <col min="10" max="10" width="17.44140625" customWidth="1"/>
    <col min="11" max="11" width="20.21875" customWidth="1"/>
    <col min="12" max="12" width="16.77734375" customWidth="1"/>
    <col min="13" max="13" width="16.5546875" bestFit="1" customWidth="1"/>
    <col min="14" max="14" width="12" bestFit="1" customWidth="1"/>
    <col min="15" max="15" width="16.5546875" bestFit="1" customWidth="1"/>
    <col min="16" max="16" width="32" customWidth="1"/>
  </cols>
  <sheetData>
    <row r="15" spans="5:16" ht="15" thickBot="1"/>
    <row r="16" spans="5:16" ht="31.8" thickBot="1">
      <c r="E16" s="57" t="s">
        <v>597</v>
      </c>
      <c r="F16" s="58"/>
      <c r="G16" s="58"/>
      <c r="H16" s="58"/>
      <c r="I16" s="58"/>
      <c r="J16" s="58"/>
      <c r="K16" s="58"/>
      <c r="L16" s="58"/>
      <c r="M16" s="58"/>
      <c r="N16" s="58"/>
      <c r="O16" s="58"/>
      <c r="P16" s="59"/>
    </row>
    <row r="17" spans="5:16" ht="15" thickBot="1">
      <c r="E17" s="17"/>
      <c r="F17" s="17"/>
      <c r="G17" s="17"/>
      <c r="H17" s="17"/>
      <c r="I17" s="17"/>
      <c r="J17" s="17"/>
      <c r="K17" s="17"/>
      <c r="L17" s="17"/>
      <c r="M17" s="17"/>
      <c r="N17" s="17"/>
      <c r="O17" s="17"/>
      <c r="P17" s="17"/>
    </row>
    <row r="18" spans="5:16" ht="15" thickBot="1">
      <c r="E18" s="62" t="s">
        <v>556</v>
      </c>
      <c r="F18" s="63"/>
      <c r="G18" s="62" t="s">
        <v>557</v>
      </c>
      <c r="H18" s="63"/>
      <c r="I18" s="62" t="s">
        <v>558</v>
      </c>
      <c r="J18" s="63"/>
      <c r="K18" s="62" t="s">
        <v>559</v>
      </c>
      <c r="L18" s="63"/>
      <c r="M18" s="62" t="s">
        <v>5</v>
      </c>
      <c r="N18" s="63"/>
      <c r="O18" s="62" t="s">
        <v>6</v>
      </c>
      <c r="P18" s="63"/>
    </row>
    <row r="19" spans="5:16">
      <c r="E19" s="14"/>
      <c r="F19" s="4"/>
      <c r="G19" s="14"/>
      <c r="H19" s="4"/>
      <c r="I19" s="14"/>
      <c r="J19" s="4"/>
      <c r="K19" s="14"/>
      <c r="L19" s="4"/>
      <c r="M19" s="14"/>
      <c r="N19" s="4"/>
      <c r="P19" s="4"/>
    </row>
    <row r="20" spans="5:16">
      <c r="E20" s="14" t="s">
        <v>569</v>
      </c>
      <c r="F20" s="6">
        <v>7.8450450450450449</v>
      </c>
      <c r="G20" s="14" t="s">
        <v>569</v>
      </c>
      <c r="H20" s="6">
        <v>1724.7783783783784</v>
      </c>
      <c r="I20" s="14" t="s">
        <v>569</v>
      </c>
      <c r="J20" s="6">
        <v>2651.4432432432432</v>
      </c>
      <c r="K20" s="14" t="s">
        <v>569</v>
      </c>
      <c r="L20" s="6">
        <v>926.66486486486485</v>
      </c>
      <c r="M20" s="14" t="s">
        <v>569</v>
      </c>
      <c r="N20" s="6">
        <v>5.4036036036036039</v>
      </c>
      <c r="O20" t="s">
        <v>569</v>
      </c>
      <c r="P20" s="6">
        <v>496.95135135135138</v>
      </c>
    </row>
    <row r="21" spans="5:16">
      <c r="E21" s="14" t="s">
        <v>596</v>
      </c>
      <c r="F21" s="16">
        <v>0.16495863205869249</v>
      </c>
      <c r="G21" s="14" t="s">
        <v>596</v>
      </c>
      <c r="H21" s="15">
        <v>62.580494721939502</v>
      </c>
      <c r="I21" s="14" t="s">
        <v>596</v>
      </c>
      <c r="J21" s="15">
        <v>93.337646365775441</v>
      </c>
      <c r="K21" s="14" t="s">
        <v>596</v>
      </c>
      <c r="L21" s="15">
        <v>35.608461337590334</v>
      </c>
      <c r="M21" s="14" t="s">
        <v>596</v>
      </c>
      <c r="N21" s="15">
        <v>0.12491377053492385</v>
      </c>
      <c r="O21" t="s">
        <v>596</v>
      </c>
      <c r="P21" s="15">
        <v>12.169854646017843</v>
      </c>
    </row>
    <row r="22" spans="5:16">
      <c r="E22" s="14" t="s">
        <v>595</v>
      </c>
      <c r="F22" s="4">
        <v>7</v>
      </c>
      <c r="G22" s="14" t="s">
        <v>595</v>
      </c>
      <c r="H22" s="4">
        <v>1263</v>
      </c>
      <c r="I22" s="14" t="s">
        <v>595</v>
      </c>
      <c r="J22" s="4">
        <v>1938</v>
      </c>
      <c r="K22" s="14" t="s">
        <v>595</v>
      </c>
      <c r="L22" s="4">
        <v>651</v>
      </c>
      <c r="M22" s="14" t="s">
        <v>595</v>
      </c>
      <c r="N22" s="4">
        <v>5</v>
      </c>
      <c r="O22" t="s">
        <v>595</v>
      </c>
      <c r="P22" s="4">
        <v>486</v>
      </c>
    </row>
    <row r="23" spans="5:16">
      <c r="E23" s="14" t="s">
        <v>594</v>
      </c>
      <c r="F23" s="4">
        <v>6</v>
      </c>
      <c r="G23" s="14" t="s">
        <v>594</v>
      </c>
      <c r="H23" s="4">
        <v>34</v>
      </c>
      <c r="I23" s="14" t="s">
        <v>594</v>
      </c>
      <c r="J23" s="4">
        <v>1512</v>
      </c>
      <c r="K23" s="14" t="s">
        <v>594</v>
      </c>
      <c r="L23" s="4">
        <v>616</v>
      </c>
      <c r="M23" s="14" t="s">
        <v>594</v>
      </c>
      <c r="N23" s="4">
        <v>3</v>
      </c>
      <c r="O23" t="s">
        <v>594</v>
      </c>
      <c r="P23" s="4">
        <v>200</v>
      </c>
    </row>
    <row r="24" spans="5:16">
      <c r="E24" s="14" t="s">
        <v>593</v>
      </c>
      <c r="F24" s="15">
        <v>3.886167702419014</v>
      </c>
      <c r="G24" s="14" t="s">
        <v>593</v>
      </c>
      <c r="H24" s="15">
        <v>1474.2987035881492</v>
      </c>
      <c r="I24" s="14" t="s">
        <v>593</v>
      </c>
      <c r="J24" s="15">
        <v>2198.889152993374</v>
      </c>
      <c r="K24" s="14" t="s">
        <v>593</v>
      </c>
      <c r="L24" s="15">
        <v>838.87972794138943</v>
      </c>
      <c r="M24" s="14" t="s">
        <v>593</v>
      </c>
      <c r="N24" s="15">
        <v>2.9427733158424969</v>
      </c>
      <c r="O24" t="s">
        <v>593</v>
      </c>
      <c r="P24" s="15">
        <v>286.70276588897281</v>
      </c>
    </row>
    <row r="25" spans="5:16">
      <c r="E25" s="14" t="s">
        <v>592</v>
      </c>
      <c r="F25" s="15">
        <v>15.102299411324678</v>
      </c>
      <c r="G25" s="14" t="s">
        <v>592</v>
      </c>
      <c r="H25" s="15">
        <v>2173556.6674016975</v>
      </c>
      <c r="I25" s="14" t="s">
        <v>592</v>
      </c>
      <c r="J25" s="15">
        <v>4835113.5071519166</v>
      </c>
      <c r="K25" s="14" t="s">
        <v>592</v>
      </c>
      <c r="L25" s="15">
        <v>703719.19795101951</v>
      </c>
      <c r="M25" s="14" t="s">
        <v>592</v>
      </c>
      <c r="N25" s="15">
        <v>8.6599147884346444</v>
      </c>
      <c r="O25" t="s">
        <v>592</v>
      </c>
      <c r="P25" s="15">
        <v>82198.475968387153</v>
      </c>
    </row>
    <row r="26" spans="5:16">
      <c r="E26" s="14" t="s">
        <v>591</v>
      </c>
      <c r="F26" s="15">
        <v>-0.30501814526275295</v>
      </c>
      <c r="G26" s="14" t="s">
        <v>591</v>
      </c>
      <c r="H26" s="15">
        <v>0.55216843519139136</v>
      </c>
      <c r="I26" s="14" t="s">
        <v>591</v>
      </c>
      <c r="J26" s="15">
        <v>-5.9990258453900047E-2</v>
      </c>
      <c r="K26" s="14" t="s">
        <v>591</v>
      </c>
      <c r="L26" s="15">
        <v>1.4417091350912776</v>
      </c>
      <c r="M26" s="14" t="s">
        <v>591</v>
      </c>
      <c r="N26" s="15">
        <v>-1.3130806502004244</v>
      </c>
      <c r="O26" t="s">
        <v>591</v>
      </c>
      <c r="P26" s="15">
        <v>-1.1947453110672963</v>
      </c>
    </row>
    <row r="27" spans="5:16">
      <c r="E27" s="14" t="s">
        <v>590</v>
      </c>
      <c r="F27" s="15">
        <v>0.38285607387120102</v>
      </c>
      <c r="G27" s="14" t="s">
        <v>590</v>
      </c>
      <c r="H27" s="15">
        <v>1.0808497675392676</v>
      </c>
      <c r="I27" s="14" t="s">
        <v>590</v>
      </c>
      <c r="J27" s="15">
        <v>0.91702481888276277</v>
      </c>
      <c r="K27" s="14" t="s">
        <v>590</v>
      </c>
      <c r="L27" s="15">
        <v>1.285148260628677</v>
      </c>
      <c r="M27" s="14" t="s">
        <v>590</v>
      </c>
      <c r="N27" s="15">
        <v>2.4776099799179902E-2</v>
      </c>
      <c r="O27" t="s">
        <v>590</v>
      </c>
      <c r="P27" s="15">
        <v>7.0906229971402029E-2</v>
      </c>
    </row>
    <row r="28" spans="5:16">
      <c r="E28" s="14" t="s">
        <v>589</v>
      </c>
      <c r="F28" s="4">
        <v>21</v>
      </c>
      <c r="G28" s="14" t="s">
        <v>589</v>
      </c>
      <c r="H28" s="4">
        <v>7297</v>
      </c>
      <c r="I28" s="14" t="s">
        <v>589</v>
      </c>
      <c r="J28" s="4">
        <v>9727</v>
      </c>
      <c r="K28" s="14" t="s">
        <v>589</v>
      </c>
      <c r="L28" s="4">
        <v>4610</v>
      </c>
      <c r="M28" s="14" t="s">
        <v>589</v>
      </c>
      <c r="N28" s="4">
        <v>9</v>
      </c>
      <c r="O28" t="s">
        <v>589</v>
      </c>
      <c r="P28" s="4">
        <v>988</v>
      </c>
    </row>
    <row r="29" spans="5:16">
      <c r="E29" s="14" t="s">
        <v>588</v>
      </c>
      <c r="F29" s="4">
        <v>1</v>
      </c>
      <c r="G29" s="14" t="s">
        <v>588</v>
      </c>
      <c r="H29" s="4">
        <v>8</v>
      </c>
      <c r="I29" s="14" t="s">
        <v>588</v>
      </c>
      <c r="J29" s="4">
        <v>13</v>
      </c>
      <c r="K29" s="14" t="s">
        <v>588</v>
      </c>
      <c r="L29" s="4">
        <v>5</v>
      </c>
      <c r="M29" s="14" t="s">
        <v>588</v>
      </c>
      <c r="N29" s="4">
        <v>1</v>
      </c>
      <c r="O29" t="s">
        <v>588</v>
      </c>
      <c r="P29" s="4">
        <v>10</v>
      </c>
    </row>
    <row r="30" spans="5:16">
      <c r="E30" s="14" t="s">
        <v>587</v>
      </c>
      <c r="F30" s="4">
        <v>22</v>
      </c>
      <c r="G30" s="14" t="s">
        <v>587</v>
      </c>
      <c r="H30" s="4">
        <v>7305</v>
      </c>
      <c r="I30" s="14" t="s">
        <v>587</v>
      </c>
      <c r="J30" s="4">
        <v>9740</v>
      </c>
      <c r="K30" s="14" t="s">
        <v>587</v>
      </c>
      <c r="L30" s="4">
        <v>4615</v>
      </c>
      <c r="M30" s="14" t="s">
        <v>587</v>
      </c>
      <c r="N30" s="4">
        <v>10</v>
      </c>
      <c r="O30" t="s">
        <v>587</v>
      </c>
      <c r="P30" s="4">
        <v>998</v>
      </c>
    </row>
    <row r="31" spans="5:16">
      <c r="E31" s="14" t="s">
        <v>586</v>
      </c>
      <c r="F31" s="4">
        <v>4354</v>
      </c>
      <c r="G31" s="14" t="s">
        <v>586</v>
      </c>
      <c r="H31" s="4">
        <v>957252</v>
      </c>
      <c r="I31" s="14" t="s">
        <v>586</v>
      </c>
      <c r="J31" s="4">
        <v>1471551</v>
      </c>
      <c r="K31" s="14" t="s">
        <v>586</v>
      </c>
      <c r="L31" s="4">
        <v>514299</v>
      </c>
      <c r="M31" s="14" t="s">
        <v>586</v>
      </c>
      <c r="N31" s="4">
        <v>2999</v>
      </c>
      <c r="O31" t="s">
        <v>586</v>
      </c>
      <c r="P31" s="4">
        <v>275808</v>
      </c>
    </row>
    <row r="32" spans="5:16" ht="15" thickBot="1">
      <c r="E32" s="13" t="s">
        <v>585</v>
      </c>
      <c r="F32" s="2">
        <v>555</v>
      </c>
      <c r="G32" s="13" t="s">
        <v>585</v>
      </c>
      <c r="H32" s="2">
        <v>555</v>
      </c>
      <c r="I32" s="13" t="s">
        <v>585</v>
      </c>
      <c r="J32" s="2">
        <v>555</v>
      </c>
      <c r="K32" s="13" t="s">
        <v>585</v>
      </c>
      <c r="L32" s="2">
        <v>555</v>
      </c>
      <c r="M32" s="13" t="s">
        <v>585</v>
      </c>
      <c r="N32" s="2">
        <v>555</v>
      </c>
      <c r="O32" s="12" t="s">
        <v>585</v>
      </c>
      <c r="P32" s="2">
        <v>555</v>
      </c>
    </row>
    <row r="35" spans="5:16" ht="15" thickBot="1"/>
    <row r="36" spans="5:16" ht="31.8" thickBot="1">
      <c r="E36" s="57" t="s">
        <v>584</v>
      </c>
      <c r="F36" s="58"/>
      <c r="G36" s="58"/>
      <c r="H36" s="58"/>
      <c r="I36" s="58"/>
      <c r="J36" s="58"/>
      <c r="K36" s="58"/>
      <c r="L36" s="58"/>
      <c r="M36" s="58"/>
      <c r="N36" s="58"/>
      <c r="O36" s="58"/>
      <c r="P36" s="59"/>
    </row>
    <row r="39" spans="5:16" ht="25.8">
      <c r="E39" s="61" t="s">
        <v>583</v>
      </c>
      <c r="F39" s="61"/>
      <c r="G39" s="61"/>
      <c r="H39" s="61"/>
    </row>
    <row r="40" spans="5:16" ht="21" customHeight="1">
      <c r="E40" s="11"/>
      <c r="F40" s="60" t="s">
        <v>582</v>
      </c>
      <c r="G40" s="51"/>
      <c r="H40" s="51"/>
      <c r="I40" s="51"/>
    </row>
    <row r="42" spans="5:16" ht="21">
      <c r="E42" s="50" t="s">
        <v>581</v>
      </c>
      <c r="F42" s="50"/>
      <c r="K42" s="10" t="s">
        <v>580</v>
      </c>
    </row>
    <row r="43" spans="5:16">
      <c r="E43" t="s">
        <v>579</v>
      </c>
      <c r="K43" s="51" t="s">
        <v>578</v>
      </c>
      <c r="L43" s="51"/>
      <c r="M43" s="51"/>
      <c r="N43" s="51"/>
      <c r="O43" s="51"/>
    </row>
    <row r="44" spans="5:16">
      <c r="K44" t="s">
        <v>577</v>
      </c>
    </row>
    <row r="45" spans="5:16" ht="18">
      <c r="E45" s="50" t="s">
        <v>576</v>
      </c>
      <c r="F45" s="50"/>
    </row>
    <row r="46" spans="5:16" ht="21">
      <c r="E46" s="51" t="s">
        <v>575</v>
      </c>
      <c r="F46" s="51"/>
      <c r="G46" s="51"/>
      <c r="K46" s="10" t="s">
        <v>574</v>
      </c>
    </row>
    <row r="47" spans="5:16">
      <c r="K47" s="51" t="s">
        <v>573</v>
      </c>
      <c r="L47" s="51"/>
      <c r="M47" s="51"/>
      <c r="N47" s="51"/>
    </row>
    <row r="49" spans="8:16" ht="21">
      <c r="K49" s="55" t="s">
        <v>572</v>
      </c>
      <c r="L49" s="55"/>
    </row>
    <row r="50" spans="8:16" ht="15.6">
      <c r="K50" s="56" t="s">
        <v>571</v>
      </c>
      <c r="L50" s="51"/>
      <c r="M50" s="51"/>
      <c r="N50" s="51"/>
      <c r="O50" s="51"/>
      <c r="P50" s="51"/>
    </row>
    <row r="51" spans="8:16" ht="15" thickBot="1"/>
    <row r="52" spans="8:16" ht="15" thickBot="1">
      <c r="H52" s="52" t="s">
        <v>570</v>
      </c>
      <c r="I52" s="53"/>
      <c r="J52" s="54"/>
    </row>
    <row r="53" spans="8:16" ht="15" thickBot="1"/>
    <row r="54" spans="8:16" ht="15" thickBot="1">
      <c r="H54" s="9"/>
      <c r="I54" s="9" t="s">
        <v>13</v>
      </c>
      <c r="J54" s="8" t="s">
        <v>27</v>
      </c>
    </row>
    <row r="55" spans="8:16">
      <c r="H55" s="5" t="s">
        <v>569</v>
      </c>
      <c r="I55" s="7">
        <v>6.9825783972125439</v>
      </c>
      <c r="J55" s="6">
        <v>8.7686567164179099</v>
      </c>
    </row>
    <row r="56" spans="8:16">
      <c r="H56" s="5" t="s">
        <v>568</v>
      </c>
      <c r="I56" s="7">
        <v>12.702492629321899</v>
      </c>
      <c r="J56" s="6">
        <v>16.073620660741238</v>
      </c>
    </row>
    <row r="57" spans="8:16">
      <c r="H57" s="5" t="s">
        <v>567</v>
      </c>
      <c r="I57" s="5">
        <v>287</v>
      </c>
      <c r="J57" s="4">
        <v>268</v>
      </c>
    </row>
    <row r="58" spans="8:16">
      <c r="H58" s="5" t="s">
        <v>566</v>
      </c>
      <c r="I58" s="5">
        <v>0</v>
      </c>
      <c r="J58" s="4"/>
    </row>
    <row r="59" spans="8:16">
      <c r="H59" s="5" t="s">
        <v>565</v>
      </c>
      <c r="I59" s="5">
        <v>535</v>
      </c>
      <c r="J59" s="4"/>
    </row>
    <row r="60" spans="8:16">
      <c r="H60" s="5" t="s">
        <v>564</v>
      </c>
      <c r="I60" s="5">
        <v>-5.5321270474255346</v>
      </c>
      <c r="J60" s="4"/>
    </row>
    <row r="61" spans="8:16">
      <c r="H61" s="5" t="s">
        <v>563</v>
      </c>
      <c r="I61" s="5">
        <v>2.4786467441119451E-8</v>
      </c>
      <c r="J61" s="4"/>
    </row>
    <row r="62" spans="8:16">
      <c r="H62" s="5" t="s">
        <v>562</v>
      </c>
      <c r="I62" s="5">
        <v>1.6477067618482788</v>
      </c>
      <c r="J62" s="4"/>
    </row>
    <row r="63" spans="8:16">
      <c r="H63" s="5" t="s">
        <v>561</v>
      </c>
      <c r="I63" s="5">
        <v>4.9572934882238901E-8</v>
      </c>
      <c r="J63" s="4"/>
    </row>
    <row r="64" spans="8:16" ht="15" thickBot="1">
      <c r="H64" s="3" t="s">
        <v>560</v>
      </c>
      <c r="I64" s="3">
        <v>1.9644080142008877</v>
      </c>
      <c r="J64" s="2"/>
    </row>
  </sheetData>
  <mergeCells count="18">
    <mergeCell ref="E16:P16"/>
    <mergeCell ref="E36:P36"/>
    <mergeCell ref="E42:F42"/>
    <mergeCell ref="F40:I40"/>
    <mergeCell ref="E39:H39"/>
    <mergeCell ref="E18:F18"/>
    <mergeCell ref="G18:H18"/>
    <mergeCell ref="I18:J18"/>
    <mergeCell ref="K18:L18"/>
    <mergeCell ref="M18:N18"/>
    <mergeCell ref="O18:P18"/>
    <mergeCell ref="E45:F45"/>
    <mergeCell ref="E46:G46"/>
    <mergeCell ref="H52:J52"/>
    <mergeCell ref="K43:O43"/>
    <mergeCell ref="K47:N47"/>
    <mergeCell ref="K49:L49"/>
    <mergeCell ref="K50:P5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23511-51F8-4355-AC66-C2495D9B7740}">
  <sheetPr codeName="Sheet5"/>
  <dimension ref="A1:BB101"/>
  <sheetViews>
    <sheetView workbookViewId="0">
      <selection activeCell="AS13" sqref="AS13:BB13"/>
    </sheetView>
  </sheetViews>
  <sheetFormatPr defaultRowHeight="14.4"/>
  <cols>
    <col min="1" max="1" width="12.5546875" bestFit="1" customWidth="1"/>
    <col min="2" max="2" width="22.6640625" bestFit="1" customWidth="1"/>
    <col min="3" max="3" width="14" bestFit="1" customWidth="1"/>
    <col min="4" max="4" width="19.6640625" bestFit="1" customWidth="1"/>
    <col min="5" max="5" width="13.5546875" bestFit="1" customWidth="1"/>
    <col min="6" max="6" width="22.6640625" bestFit="1" customWidth="1"/>
    <col min="7" max="7" width="19.33203125" bestFit="1" customWidth="1"/>
    <col min="8" max="8" width="12.77734375" bestFit="1" customWidth="1"/>
    <col min="9" max="9" width="23.88671875" bestFit="1" customWidth="1"/>
    <col min="10" max="11" width="9.5546875" bestFit="1" customWidth="1"/>
    <col min="45" max="45" width="14.33203125" bestFit="1" customWidth="1"/>
    <col min="46" max="46" width="15.21875" bestFit="1" customWidth="1"/>
    <col min="47" max="47" width="13.6640625" bestFit="1" customWidth="1"/>
    <col min="48" max="48" width="10" bestFit="1" customWidth="1"/>
    <col min="49" max="49" width="13.109375" bestFit="1" customWidth="1"/>
    <col min="50" max="50" width="8" bestFit="1" customWidth="1"/>
    <col min="52" max="52" width="11.88671875" bestFit="1" customWidth="1"/>
    <col min="53" max="53" width="12.77734375" bestFit="1" customWidth="1"/>
    <col min="54" max="54" width="15.109375" bestFit="1" customWidth="1"/>
  </cols>
  <sheetData>
    <row r="1" spans="1:54">
      <c r="A1" s="36" t="s">
        <v>7</v>
      </c>
      <c r="B1" t="s">
        <v>13</v>
      </c>
    </row>
    <row r="3" spans="1:54">
      <c r="A3" t="s">
        <v>617</v>
      </c>
      <c r="B3" t="s">
        <v>618</v>
      </c>
      <c r="C3" t="s">
        <v>619</v>
      </c>
    </row>
    <row r="4" spans="1:54">
      <c r="A4">
        <v>510289</v>
      </c>
      <c r="B4">
        <v>787201</v>
      </c>
      <c r="C4">
        <v>276912</v>
      </c>
      <c r="F4" t="s">
        <v>621</v>
      </c>
    </row>
    <row r="5" spans="1:54">
      <c r="F5">
        <v>569</v>
      </c>
    </row>
    <row r="6" spans="1:54">
      <c r="A6" s="39">
        <f>GETPIVOTDATA("Sum of Total Cost",$A$3)</f>
        <v>510289</v>
      </c>
      <c r="B6" s="39">
        <f>GETPIVOTDATA("Sum of Sales Revenue",$A$3)</f>
        <v>787201</v>
      </c>
      <c r="C6" s="39">
        <f>GETPIVOTDATA("Sum of Net Profit",$A$3)</f>
        <v>276912</v>
      </c>
      <c r="F6">
        <f>GETPIVOTDATA("Customer Name",$F$4)</f>
        <v>569</v>
      </c>
    </row>
    <row r="7" spans="1:54">
      <c r="A7">
        <f>GETPIVOTDATA("Sum of Total Cost",$A$3)</f>
        <v>510289</v>
      </c>
      <c r="B7">
        <f>GETPIVOTDATA("Sum of Sales Revenue",$A$3)</f>
        <v>787201</v>
      </c>
      <c r="C7">
        <f>GETPIVOTDATA("Sum of Net Profit",$A$3)</f>
        <v>276912</v>
      </c>
    </row>
    <row r="8" spans="1:54">
      <c r="AS8" s="42" t="s">
        <v>0</v>
      </c>
      <c r="AT8" s="42" t="s">
        <v>1</v>
      </c>
      <c r="AU8" s="42" t="s">
        <v>2</v>
      </c>
      <c r="AV8" s="42" t="s">
        <v>3</v>
      </c>
      <c r="AW8" s="42" t="s">
        <v>4</v>
      </c>
      <c r="AX8" s="42" t="s">
        <v>5</v>
      </c>
      <c r="AY8" s="42" t="s">
        <v>6</v>
      </c>
      <c r="AZ8" s="42" t="s">
        <v>7</v>
      </c>
      <c r="BA8" s="42" t="s">
        <v>8</v>
      </c>
      <c r="BB8" s="42" t="s">
        <v>9</v>
      </c>
    </row>
    <row r="9" spans="1:54">
      <c r="AS9" s="18">
        <f>'Sales Form'!I8</f>
        <v>0</v>
      </c>
      <c r="AT9" s="18">
        <f>'Sales Form'!I10</f>
        <v>0</v>
      </c>
      <c r="AU9" s="18">
        <f>'Sales Form'!I12</f>
        <v>0</v>
      </c>
      <c r="AV9" s="29">
        <f>'Sales Form'!I14</f>
        <v>0</v>
      </c>
      <c r="AW9" s="29">
        <f>'Sales Form'!I16</f>
        <v>0</v>
      </c>
      <c r="AX9" s="33">
        <f>'Sales Form'!L8</f>
        <v>0</v>
      </c>
      <c r="AY9" s="33">
        <f>'Sales Form'!L10</f>
        <v>0</v>
      </c>
      <c r="AZ9" s="18">
        <f>'Sales Form'!L12</f>
        <v>0</v>
      </c>
      <c r="BA9" s="18">
        <f>'Sales Form'!L14</f>
        <v>0</v>
      </c>
      <c r="BB9" s="18">
        <f>'Sales Form'!L16</f>
        <v>0</v>
      </c>
    </row>
    <row r="11" spans="1:54">
      <c r="A11" s="36" t="s">
        <v>622</v>
      </c>
      <c r="B11" t="s">
        <v>621</v>
      </c>
      <c r="E11" s="46" t="s">
        <v>7</v>
      </c>
      <c r="F11" s="46"/>
      <c r="G11" s="46" t="s">
        <v>625</v>
      </c>
      <c r="H11" s="46"/>
      <c r="I11" s="46" t="s">
        <v>7</v>
      </c>
      <c r="J11" s="46" t="s">
        <v>625</v>
      </c>
      <c r="AS11" s="18"/>
      <c r="AT11" s="18"/>
      <c r="AU11" s="18"/>
      <c r="AV11" s="29"/>
      <c r="AW11" s="29"/>
      <c r="AX11" s="33"/>
      <c r="AY11" s="33"/>
      <c r="AZ11" s="18"/>
      <c r="BA11" s="18"/>
      <c r="BB11" s="18"/>
    </row>
    <row r="12" spans="1:54">
      <c r="A12" s="37" t="s">
        <v>13</v>
      </c>
      <c r="B12">
        <v>296</v>
      </c>
      <c r="E12" s="46" t="s">
        <v>13</v>
      </c>
      <c r="F12" s="46">
        <f>GETPIVOTDATA("Customer Name",$A$11,"Status","Completed")</f>
        <v>296</v>
      </c>
      <c r="G12" s="47">
        <f>$F12/($F12+$F13)</f>
        <v>0.52112676056338025</v>
      </c>
      <c r="H12" s="46"/>
      <c r="I12" s="46" t="s">
        <v>27</v>
      </c>
      <c r="J12" s="47">
        <f>$F13/($F12+$F13)</f>
        <v>0.47887323943661969</v>
      </c>
    </row>
    <row r="13" spans="1:54">
      <c r="A13" s="37" t="s">
        <v>27</v>
      </c>
      <c r="B13">
        <v>272</v>
      </c>
      <c r="E13" s="46" t="s">
        <v>624</v>
      </c>
      <c r="F13" s="46">
        <f>GETPIVOTDATA("Customer Name",$A$11,"Status","Returned")</f>
        <v>272</v>
      </c>
      <c r="G13" s="47">
        <f>$F13/($F13+$F12)</f>
        <v>0.47887323943661969</v>
      </c>
      <c r="H13" s="46"/>
      <c r="I13" s="46" t="s">
        <v>624</v>
      </c>
      <c r="J13" s="47">
        <f>$F12/($F12+$F13)</f>
        <v>0.52112676056338025</v>
      </c>
      <c r="AS13" t="s">
        <v>671</v>
      </c>
      <c r="AT13" t="s">
        <v>16</v>
      </c>
      <c r="AU13" t="s">
        <v>55</v>
      </c>
      <c r="AV13" s="1">
        <v>45466</v>
      </c>
      <c r="AW13" s="1">
        <v>45474</v>
      </c>
      <c r="AX13">
        <v>1</v>
      </c>
      <c r="AY13">
        <v>50</v>
      </c>
      <c r="AZ13" t="s">
        <v>13</v>
      </c>
      <c r="BA13" t="s">
        <v>546</v>
      </c>
      <c r="BB13" t="s">
        <v>18</v>
      </c>
    </row>
    <row r="14" spans="1:54">
      <c r="A14" s="37" t="s">
        <v>623</v>
      </c>
      <c r="B14">
        <v>568</v>
      </c>
      <c r="AV14" s="1"/>
      <c r="AW14" s="1"/>
    </row>
    <row r="18" spans="1:6">
      <c r="B18" s="36" t="s">
        <v>7</v>
      </c>
      <c r="C18" t="s">
        <v>620</v>
      </c>
    </row>
    <row r="20" spans="1:6">
      <c r="B20" s="36" t="s">
        <v>622</v>
      </c>
      <c r="C20" t="s">
        <v>617</v>
      </c>
      <c r="D20" t="s">
        <v>618</v>
      </c>
      <c r="E20" t="s">
        <v>619</v>
      </c>
    </row>
    <row r="21" spans="1:6">
      <c r="A21">
        <v>1</v>
      </c>
      <c r="B21" s="37" t="s">
        <v>637</v>
      </c>
      <c r="C21">
        <v>77971</v>
      </c>
      <c r="D21">
        <v>121897</v>
      </c>
      <c r="E21">
        <v>43926</v>
      </c>
    </row>
    <row r="22" spans="1:6">
      <c r="A22">
        <v>2</v>
      </c>
      <c r="B22" s="37" t="s">
        <v>644</v>
      </c>
      <c r="C22">
        <v>84621</v>
      </c>
      <c r="D22">
        <v>125625</v>
      </c>
      <c r="E22">
        <v>41004</v>
      </c>
    </row>
    <row r="23" spans="1:6">
      <c r="A23">
        <v>3</v>
      </c>
      <c r="B23" s="37" t="s">
        <v>642</v>
      </c>
      <c r="C23">
        <v>92001</v>
      </c>
      <c r="D23">
        <v>142196</v>
      </c>
      <c r="E23">
        <v>50195</v>
      </c>
    </row>
    <row r="24" spans="1:6">
      <c r="A24">
        <v>4</v>
      </c>
      <c r="B24" s="37" t="s">
        <v>634</v>
      </c>
      <c r="C24">
        <v>87477</v>
      </c>
      <c r="D24">
        <v>128852</v>
      </c>
      <c r="E24">
        <v>41375</v>
      </c>
    </row>
    <row r="25" spans="1:6">
      <c r="A25">
        <v>5</v>
      </c>
      <c r="B25" s="37" t="s">
        <v>628</v>
      </c>
      <c r="C25">
        <v>64159</v>
      </c>
      <c r="D25">
        <v>96525</v>
      </c>
      <c r="E25">
        <v>32366</v>
      </c>
    </row>
    <row r="26" spans="1:6">
      <c r="A26">
        <v>6</v>
      </c>
      <c r="B26" s="37" t="s">
        <v>630</v>
      </c>
      <c r="C26">
        <v>61796</v>
      </c>
      <c r="D26">
        <v>102218</v>
      </c>
      <c r="E26">
        <v>40422</v>
      </c>
      <c r="F26" s="40"/>
    </row>
    <row r="27" spans="1:6">
      <c r="A27">
        <v>7</v>
      </c>
      <c r="B27" s="37" t="s">
        <v>639</v>
      </c>
      <c r="C27">
        <v>84360</v>
      </c>
      <c r="D27">
        <v>128046</v>
      </c>
      <c r="E27">
        <v>43686</v>
      </c>
    </row>
    <row r="28" spans="1:6">
      <c r="A28">
        <v>8</v>
      </c>
      <c r="B28" s="37" t="s">
        <v>626</v>
      </c>
      <c r="C28">
        <v>84468</v>
      </c>
      <c r="D28">
        <v>132179</v>
      </c>
      <c r="E28">
        <v>47711</v>
      </c>
    </row>
    <row r="29" spans="1:6">
      <c r="A29">
        <v>9</v>
      </c>
      <c r="B29" s="37" t="s">
        <v>641</v>
      </c>
      <c r="C29">
        <v>78579</v>
      </c>
      <c r="D29">
        <v>119380</v>
      </c>
      <c r="E29">
        <v>40801</v>
      </c>
    </row>
    <row r="30" spans="1:6">
      <c r="A30">
        <v>10</v>
      </c>
      <c r="B30" s="37" t="s">
        <v>633</v>
      </c>
      <c r="C30">
        <v>83383</v>
      </c>
      <c r="D30">
        <v>126232</v>
      </c>
      <c r="E30">
        <v>42849</v>
      </c>
    </row>
    <row r="31" spans="1:6">
      <c r="A31">
        <v>11</v>
      </c>
      <c r="B31" s="37" t="s">
        <v>631</v>
      </c>
      <c r="C31">
        <v>65612</v>
      </c>
      <c r="D31">
        <v>105535</v>
      </c>
      <c r="E31">
        <v>39923</v>
      </c>
    </row>
    <row r="32" spans="1:6">
      <c r="A32">
        <v>12</v>
      </c>
      <c r="B32" s="37" t="s">
        <v>640</v>
      </c>
      <c r="C32">
        <v>100462</v>
      </c>
      <c r="D32">
        <v>156371</v>
      </c>
      <c r="E32">
        <v>55909</v>
      </c>
    </row>
    <row r="33" spans="1:8">
      <c r="B33" s="37" t="s">
        <v>623</v>
      </c>
      <c r="C33">
        <v>964889</v>
      </c>
      <c r="D33">
        <v>1485056</v>
      </c>
      <c r="E33">
        <v>520167</v>
      </c>
    </row>
    <row r="37" spans="1:8">
      <c r="A37" s="36" t="s">
        <v>622</v>
      </c>
      <c r="C37" t="s">
        <v>645</v>
      </c>
      <c r="D37" t="s">
        <v>646</v>
      </c>
      <c r="E37" t="s">
        <v>647</v>
      </c>
      <c r="F37" t="s">
        <v>649</v>
      </c>
      <c r="G37" t="s">
        <v>650</v>
      </c>
    </row>
    <row r="38" spans="1:8">
      <c r="A38" s="37" t="s">
        <v>637</v>
      </c>
      <c r="B38">
        <f>MATCH(A38,B21:B32,0)-1</f>
        <v>0</v>
      </c>
      <c r="C38">
        <f>IFERROR(VLOOKUP(B38,A21:E32,2,0),0)</f>
        <v>0</v>
      </c>
      <c r="D38">
        <f>VLOOKUP(B39,A21:E32,4,0)</f>
        <v>121897</v>
      </c>
      <c r="E38">
        <f>IFERROR(VLOOKUP(B38,A21:E32,4,0),0)</f>
        <v>0</v>
      </c>
      <c r="F38" s="39">
        <f>D38-E38</f>
        <v>121897</v>
      </c>
      <c r="G38" s="38">
        <f>IF(E38=0,0,((D38-E38)/E38))</f>
        <v>0</v>
      </c>
    </row>
    <row r="39" spans="1:8">
      <c r="A39" s="37" t="s">
        <v>644</v>
      </c>
      <c r="B39">
        <f>MATCH(A38,B21:B32,0)</f>
        <v>1</v>
      </c>
      <c r="E39" t="s">
        <v>648</v>
      </c>
      <c r="G39" t="str">
        <f>IF(G38&gt;0,"+"&amp;TEXT(G38,"0.0%"),TEXT(G38,"0.0%"))</f>
        <v>0.0%</v>
      </c>
    </row>
    <row r="40" spans="1:8">
      <c r="A40" s="37" t="s">
        <v>642</v>
      </c>
    </row>
    <row r="41" spans="1:8">
      <c r="A41" s="37" t="s">
        <v>634</v>
      </c>
      <c r="B41" s="48" t="s">
        <v>651</v>
      </c>
      <c r="C41" s="49"/>
      <c r="D41" s="49"/>
      <c r="E41" s="49"/>
      <c r="F41" s="49"/>
      <c r="G41" s="49"/>
      <c r="H41" s="41"/>
    </row>
    <row r="42" spans="1:8">
      <c r="A42" s="37" t="s">
        <v>628</v>
      </c>
      <c r="D42" t="s">
        <v>652</v>
      </c>
      <c r="E42" t="s">
        <v>653</v>
      </c>
      <c r="F42" t="s">
        <v>654</v>
      </c>
      <c r="G42" t="s">
        <v>655</v>
      </c>
    </row>
    <row r="43" spans="1:8">
      <c r="A43" s="37" t="s">
        <v>630</v>
      </c>
      <c r="D43">
        <f>VLOOKUP(B39,A21:E32,3,0)</f>
        <v>77971</v>
      </c>
      <c r="E43">
        <f>IFERROR(VLOOKUP(B38,A21:E32,3,0),0)</f>
        <v>0</v>
      </c>
      <c r="F43" s="39">
        <f>D43-E43</f>
        <v>77971</v>
      </c>
      <c r="G43" s="38">
        <f>IF(E43=0,0,((D43-E43)/E43))</f>
        <v>0</v>
      </c>
    </row>
    <row r="44" spans="1:8">
      <c r="A44" s="37" t="s">
        <v>639</v>
      </c>
      <c r="G44" t="str">
        <f>IF(G43&gt;0,"+"&amp;TEXT(G43,"0.0%"),TEXT(G43,"0.0%"))</f>
        <v>0.0%</v>
      </c>
    </row>
    <row r="45" spans="1:8">
      <c r="A45" s="37" t="s">
        <v>626</v>
      </c>
    </row>
    <row r="46" spans="1:8">
      <c r="A46" s="37" t="s">
        <v>641</v>
      </c>
      <c r="C46" s="48" t="s">
        <v>656</v>
      </c>
      <c r="D46" s="48"/>
      <c r="E46" s="48"/>
      <c r="F46" s="48"/>
      <c r="G46" s="48"/>
    </row>
    <row r="47" spans="1:8">
      <c r="A47" s="37" t="s">
        <v>633</v>
      </c>
      <c r="D47" t="s">
        <v>657</v>
      </c>
      <c r="E47" t="s">
        <v>658</v>
      </c>
      <c r="F47" t="s">
        <v>659</v>
      </c>
      <c r="G47" t="s">
        <v>660</v>
      </c>
    </row>
    <row r="48" spans="1:8">
      <c r="A48" s="37" t="s">
        <v>631</v>
      </c>
      <c r="D48">
        <f>VLOOKUP(B39,A21:E32,5,0)</f>
        <v>43926</v>
      </c>
      <c r="E48">
        <f>IFERROR(VLOOKUP(B38,A21:E32,5,0),0)</f>
        <v>0</v>
      </c>
      <c r="F48">
        <f>D48-E48</f>
        <v>43926</v>
      </c>
      <c r="G48" s="38">
        <f>IF(E48=0,0,((D48-E48)/E48))</f>
        <v>0</v>
      </c>
    </row>
    <row r="49" spans="1:7">
      <c r="A49" s="37" t="s">
        <v>640</v>
      </c>
      <c r="G49" t="str">
        <f>IF(G48&gt;0,"+"&amp;TEXT(G48,"0.0%"),TEXT(G48,"0.0%"))</f>
        <v>0.0%</v>
      </c>
    </row>
    <row r="50" spans="1:7">
      <c r="A50" s="37" t="s">
        <v>623</v>
      </c>
    </row>
    <row r="51" spans="1:7">
      <c r="D51" s="48"/>
      <c r="E51" s="48"/>
      <c r="F51" s="48"/>
      <c r="G51" s="48"/>
    </row>
    <row r="52" spans="1:7">
      <c r="C52" s="36" t="s">
        <v>7</v>
      </c>
      <c r="D52" t="s">
        <v>13</v>
      </c>
    </row>
    <row r="54" spans="1:7">
      <c r="C54" s="36" t="s">
        <v>622</v>
      </c>
      <c r="D54" t="s">
        <v>666</v>
      </c>
      <c r="E54" t="s">
        <v>667</v>
      </c>
      <c r="F54" t="s">
        <v>668</v>
      </c>
    </row>
    <row r="55" spans="1:7">
      <c r="C55" s="37" t="s">
        <v>20</v>
      </c>
      <c r="D55">
        <v>133070</v>
      </c>
      <c r="E55">
        <v>183811</v>
      </c>
      <c r="F55">
        <v>50741</v>
      </c>
    </row>
    <row r="56" spans="1:7">
      <c r="C56" s="37" t="s">
        <v>16</v>
      </c>
      <c r="D56">
        <v>106539</v>
      </c>
      <c r="E56">
        <v>196314</v>
      </c>
      <c r="F56">
        <v>89775</v>
      </c>
    </row>
    <row r="57" spans="1:7">
      <c r="C57" s="37" t="s">
        <v>11</v>
      </c>
      <c r="D57">
        <v>113598</v>
      </c>
      <c r="E57">
        <v>152612</v>
      </c>
      <c r="F57">
        <v>39014</v>
      </c>
    </row>
    <row r="58" spans="1:7">
      <c r="C58" s="37" t="s">
        <v>23</v>
      </c>
      <c r="D58">
        <v>81519</v>
      </c>
      <c r="E58">
        <v>148602</v>
      </c>
      <c r="F58">
        <v>67083</v>
      </c>
    </row>
    <row r="59" spans="1:7">
      <c r="C59" s="37" t="s">
        <v>30</v>
      </c>
      <c r="D59">
        <v>75563</v>
      </c>
      <c r="E59">
        <v>105862</v>
      </c>
      <c r="F59">
        <v>30299</v>
      </c>
    </row>
    <row r="60" spans="1:7">
      <c r="C60" s="37" t="s">
        <v>623</v>
      </c>
      <c r="D60">
        <v>510289</v>
      </c>
      <c r="E60">
        <v>787201</v>
      </c>
      <c r="F60">
        <v>276912</v>
      </c>
    </row>
    <row r="67" spans="3:9">
      <c r="C67" s="36" t="s">
        <v>7</v>
      </c>
      <c r="D67" t="s">
        <v>13</v>
      </c>
      <c r="H67" s="36" t="s">
        <v>7</v>
      </c>
      <c r="I67" t="s">
        <v>13</v>
      </c>
    </row>
    <row r="69" spans="3:9">
      <c r="C69" s="36" t="s">
        <v>622</v>
      </c>
      <c r="D69" t="s">
        <v>666</v>
      </c>
      <c r="E69" t="s">
        <v>667</v>
      </c>
      <c r="F69" t="s">
        <v>668</v>
      </c>
      <c r="H69" s="36" t="s">
        <v>622</v>
      </c>
      <c r="I69" t="s">
        <v>618</v>
      </c>
    </row>
    <row r="70" spans="3:9">
      <c r="C70" s="37" t="s">
        <v>637</v>
      </c>
      <c r="D70">
        <v>51842</v>
      </c>
      <c r="E70">
        <v>82131</v>
      </c>
      <c r="F70">
        <v>30289</v>
      </c>
      <c r="H70" s="37" t="s">
        <v>632</v>
      </c>
      <c r="I70">
        <v>102807</v>
      </c>
    </row>
    <row r="71" spans="3:9">
      <c r="C71" s="37" t="s">
        <v>644</v>
      </c>
      <c r="D71">
        <v>35256</v>
      </c>
      <c r="E71">
        <v>51679</v>
      </c>
      <c r="F71">
        <v>16423</v>
      </c>
      <c r="H71" s="37" t="s">
        <v>635</v>
      </c>
      <c r="I71">
        <v>145139</v>
      </c>
    </row>
    <row r="72" spans="3:9">
      <c r="C72" s="37" t="s">
        <v>642</v>
      </c>
      <c r="D72">
        <v>34868</v>
      </c>
      <c r="E72">
        <v>51543</v>
      </c>
      <c r="F72">
        <v>16675</v>
      </c>
      <c r="H72" s="37" t="s">
        <v>636</v>
      </c>
      <c r="I72">
        <v>61307</v>
      </c>
    </row>
    <row r="73" spans="3:9">
      <c r="C73" s="37" t="s">
        <v>634</v>
      </c>
      <c r="D73">
        <v>57953</v>
      </c>
      <c r="E73">
        <v>86102</v>
      </c>
      <c r="F73">
        <v>28149</v>
      </c>
      <c r="H73" s="37" t="s">
        <v>627</v>
      </c>
      <c r="I73">
        <v>140635</v>
      </c>
    </row>
    <row r="74" spans="3:9">
      <c r="C74" s="37" t="s">
        <v>628</v>
      </c>
      <c r="D74">
        <v>31228</v>
      </c>
      <c r="E74">
        <v>47421</v>
      </c>
      <c r="F74">
        <v>16193</v>
      </c>
      <c r="H74" s="37" t="s">
        <v>629</v>
      </c>
      <c r="I74">
        <v>105944</v>
      </c>
    </row>
    <row r="75" spans="3:9">
      <c r="C75" s="37" t="s">
        <v>630</v>
      </c>
      <c r="D75">
        <v>38381</v>
      </c>
      <c r="E75">
        <v>65272</v>
      </c>
      <c r="F75">
        <v>26891</v>
      </c>
      <c r="H75" s="37" t="s">
        <v>643</v>
      </c>
      <c r="I75">
        <v>137505</v>
      </c>
    </row>
    <row r="76" spans="3:9">
      <c r="C76" s="37" t="s">
        <v>639</v>
      </c>
      <c r="D76">
        <v>52392</v>
      </c>
      <c r="E76">
        <v>79727</v>
      </c>
      <c r="F76">
        <v>27335</v>
      </c>
      <c r="H76" s="37" t="s">
        <v>638</v>
      </c>
      <c r="I76">
        <v>93864</v>
      </c>
    </row>
    <row r="77" spans="3:9">
      <c r="C77" s="37" t="s">
        <v>626</v>
      </c>
      <c r="D77">
        <v>40248</v>
      </c>
      <c r="E77">
        <v>60219</v>
      </c>
      <c r="F77">
        <v>19971</v>
      </c>
      <c r="H77" s="37" t="s">
        <v>623</v>
      </c>
      <c r="I77">
        <v>787201</v>
      </c>
    </row>
    <row r="78" spans="3:9">
      <c r="C78" s="37" t="s">
        <v>641</v>
      </c>
      <c r="D78">
        <v>29139</v>
      </c>
      <c r="E78">
        <v>47293</v>
      </c>
      <c r="F78">
        <v>18154</v>
      </c>
    </row>
    <row r="79" spans="3:9">
      <c r="C79" s="37" t="s">
        <v>633</v>
      </c>
      <c r="D79">
        <v>39693</v>
      </c>
      <c r="E79">
        <v>59593</v>
      </c>
      <c r="F79">
        <v>19900</v>
      </c>
    </row>
    <row r="80" spans="3:9">
      <c r="C80" s="37" t="s">
        <v>631</v>
      </c>
      <c r="D80">
        <v>36071</v>
      </c>
      <c r="E80">
        <v>58748</v>
      </c>
      <c r="F80">
        <v>22677</v>
      </c>
    </row>
    <row r="81" spans="3:9">
      <c r="C81" s="37" t="s">
        <v>640</v>
      </c>
      <c r="D81">
        <v>63218</v>
      </c>
      <c r="E81">
        <v>97473</v>
      </c>
      <c r="F81">
        <v>34255</v>
      </c>
    </row>
    <row r="82" spans="3:9">
      <c r="C82" s="37" t="s">
        <v>623</v>
      </c>
      <c r="D82">
        <v>510289</v>
      </c>
      <c r="E82">
        <v>787201</v>
      </c>
      <c r="F82">
        <v>276912</v>
      </c>
    </row>
    <row r="84" spans="3:9">
      <c r="H84" s="36" t="s">
        <v>622</v>
      </c>
      <c r="I84" t="s">
        <v>669</v>
      </c>
    </row>
    <row r="85" spans="3:9">
      <c r="H85" s="37" t="s">
        <v>45</v>
      </c>
      <c r="I85">
        <v>169</v>
      </c>
    </row>
    <row r="86" spans="3:9">
      <c r="H86" s="37" t="s">
        <v>28</v>
      </c>
      <c r="I86">
        <v>130</v>
      </c>
    </row>
    <row r="87" spans="3:9">
      <c r="H87" s="37" t="s">
        <v>18</v>
      </c>
      <c r="I87">
        <v>126</v>
      </c>
    </row>
    <row r="88" spans="3:9">
      <c r="H88" s="37" t="s">
        <v>14</v>
      </c>
      <c r="I88">
        <v>144</v>
      </c>
    </row>
    <row r="89" spans="3:9">
      <c r="H89" s="37" t="s">
        <v>623</v>
      </c>
      <c r="I89">
        <v>569</v>
      </c>
    </row>
    <row r="93" spans="3:9">
      <c r="C93" s="36" t="s">
        <v>622</v>
      </c>
      <c r="D93" t="s">
        <v>618</v>
      </c>
    </row>
    <row r="94" spans="3:9">
      <c r="C94" s="37" t="s">
        <v>551</v>
      </c>
      <c r="D94">
        <v>36531</v>
      </c>
      <c r="F94" s="37"/>
    </row>
    <row r="95" spans="3:9">
      <c r="C95" s="37" t="s">
        <v>547</v>
      </c>
      <c r="D95">
        <v>61622</v>
      </c>
      <c r="F95" s="37"/>
      <c r="G95" s="37" t="s">
        <v>551</v>
      </c>
      <c r="H95">
        <v>36531</v>
      </c>
    </row>
    <row r="96" spans="3:9">
      <c r="C96" s="37" t="s">
        <v>549</v>
      </c>
      <c r="D96">
        <v>230231</v>
      </c>
      <c r="F96" s="37"/>
      <c r="G96" s="37" t="s">
        <v>550</v>
      </c>
      <c r="H96">
        <v>300053</v>
      </c>
    </row>
    <row r="97" spans="3:8">
      <c r="C97" s="37" t="s">
        <v>546</v>
      </c>
      <c r="D97">
        <v>232872</v>
      </c>
      <c r="F97" s="37"/>
      <c r="G97" s="37" t="s">
        <v>547</v>
      </c>
      <c r="H97">
        <v>61622</v>
      </c>
    </row>
    <row r="98" spans="3:8">
      <c r="C98" s="37" t="s">
        <v>548</v>
      </c>
      <c r="D98">
        <v>289842</v>
      </c>
      <c r="F98" s="37"/>
      <c r="G98" s="37" t="s">
        <v>549</v>
      </c>
      <c r="H98">
        <v>230231</v>
      </c>
    </row>
    <row r="99" spans="3:8">
      <c r="C99" s="37" t="s">
        <v>550</v>
      </c>
      <c r="D99">
        <v>300103</v>
      </c>
      <c r="F99" s="37"/>
      <c r="G99" s="37" t="s">
        <v>32</v>
      </c>
      <c r="H99">
        <v>333855</v>
      </c>
    </row>
    <row r="100" spans="3:8">
      <c r="C100" s="37" t="s">
        <v>32</v>
      </c>
      <c r="D100">
        <v>333855</v>
      </c>
      <c r="F100" s="37"/>
      <c r="G100" s="37" t="s">
        <v>548</v>
      </c>
      <c r="H100">
        <v>289842</v>
      </c>
    </row>
    <row r="101" spans="3:8">
      <c r="C101" s="37" t="s">
        <v>623</v>
      </c>
      <c r="D101">
        <v>1485056</v>
      </c>
      <c r="G101" s="37" t="s">
        <v>546</v>
      </c>
      <c r="H101">
        <v>232872</v>
      </c>
    </row>
  </sheetData>
  <mergeCells count="3">
    <mergeCell ref="B41:G41"/>
    <mergeCell ref="C46:G46"/>
    <mergeCell ref="D51:G51"/>
  </mergeCells>
  <conditionalFormatting sqref="G39">
    <cfRule type="expression" dxfId="9" priority="5">
      <formula>$F$38&lt;= 0</formula>
    </cfRule>
    <cfRule type="expression" dxfId="8" priority="6">
      <formula>$F$38&gt;= 0</formula>
    </cfRule>
  </conditionalFormatting>
  <conditionalFormatting sqref="G44">
    <cfRule type="expression" dxfId="7" priority="3">
      <formula>$F$38&lt;= 0</formula>
    </cfRule>
    <cfRule type="expression" dxfId="6" priority="4">
      <formula>$F$38&gt;= 0</formula>
    </cfRule>
  </conditionalFormatting>
  <conditionalFormatting sqref="G49">
    <cfRule type="expression" dxfId="5" priority="1">
      <formula>$F$38&lt;= 0</formula>
    </cfRule>
    <cfRule type="expression" dxfId="4" priority="2">
      <formula>$F$38&gt;= 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1"/>
  <dimension ref="A1:Q571"/>
  <sheetViews>
    <sheetView zoomScale="85" zoomScaleNormal="85" workbookViewId="0">
      <selection activeCell="A2" sqref="A2:Q571"/>
    </sheetView>
  </sheetViews>
  <sheetFormatPr defaultRowHeight="14.4"/>
  <cols>
    <col min="1" max="1" width="22.33203125" bestFit="1" customWidth="1"/>
    <col min="2" max="2" width="18" bestFit="1" customWidth="1"/>
    <col min="3" max="3" width="15.44140625" bestFit="1" customWidth="1"/>
    <col min="4" max="4" width="12.33203125" bestFit="1" customWidth="1"/>
    <col min="5" max="5" width="15.5546875" style="1" bestFit="1" customWidth="1"/>
    <col min="6" max="6" width="10.5546875" style="1" bestFit="1" customWidth="1"/>
    <col min="7" max="7" width="11.33203125" bestFit="1" customWidth="1"/>
    <col min="8" max="8" width="9.88671875" bestFit="1" customWidth="1"/>
    <col min="9" max="9" width="14" bestFit="1" customWidth="1"/>
    <col min="10" max="10" width="18.109375" bestFit="1" customWidth="1"/>
    <col min="11" max="11" width="6.88671875" bestFit="1" customWidth="1"/>
    <col min="12" max="12" width="9" bestFit="1" customWidth="1"/>
    <col min="13" max="13" width="6.44140625" bestFit="1" customWidth="1"/>
    <col min="14" max="14" width="14.5546875" bestFit="1" customWidth="1"/>
    <col min="15" max="15" width="11.5546875" bestFit="1" customWidth="1"/>
    <col min="16" max="16" width="15.33203125" bestFit="1" customWidth="1"/>
    <col min="17" max="18" width="11.33203125" bestFit="1" customWidth="1"/>
  </cols>
  <sheetData>
    <row r="1" spans="1:17">
      <c r="A1" t="s">
        <v>0</v>
      </c>
      <c r="B1" t="s">
        <v>1</v>
      </c>
      <c r="C1" t="s">
        <v>2</v>
      </c>
      <c r="D1" s="1" t="s">
        <v>3</v>
      </c>
      <c r="E1" s="1" t="s">
        <v>4</v>
      </c>
      <c r="F1" t="s">
        <v>5</v>
      </c>
      <c r="G1" t="s">
        <v>6</v>
      </c>
      <c r="H1" t="s">
        <v>7</v>
      </c>
      <c r="I1" t="s">
        <v>8</v>
      </c>
      <c r="J1" t="s">
        <v>9</v>
      </c>
      <c r="K1" t="s">
        <v>553</v>
      </c>
      <c r="L1" t="s">
        <v>554</v>
      </c>
      <c r="M1" t="s">
        <v>555</v>
      </c>
      <c r="N1" t="s">
        <v>556</v>
      </c>
      <c r="O1" t="s">
        <v>557</v>
      </c>
      <c r="P1" t="s">
        <v>558</v>
      </c>
      <c r="Q1" t="s">
        <v>559</v>
      </c>
    </row>
    <row r="2" spans="1:17">
      <c r="A2" t="s">
        <v>84</v>
      </c>
      <c r="B2" t="s">
        <v>30</v>
      </c>
      <c r="C2" t="s">
        <v>41</v>
      </c>
      <c r="D2" s="1">
        <v>45518</v>
      </c>
      <c r="E2" s="1">
        <v>45525</v>
      </c>
      <c r="F2">
        <v>9</v>
      </c>
      <c r="G2">
        <v>732</v>
      </c>
      <c r="H2" t="s">
        <v>13</v>
      </c>
      <c r="I2" t="s">
        <v>549</v>
      </c>
      <c r="J2" t="s">
        <v>28</v>
      </c>
      <c r="K2">
        <f>YEAR(D2)</f>
        <v>2024</v>
      </c>
      <c r="L2" t="str">
        <f>TEXT(D2,"mmm")</f>
        <v>Aug</v>
      </c>
      <c r="M2" t="str">
        <f>TEXT(D2,"ddd")</f>
        <v>Wed</v>
      </c>
      <c r="N2">
        <f>DATEDIF(D2, E2, "d")</f>
        <v>7</v>
      </c>
      <c r="O2">
        <f>ROUND(Table1[[#This Row],[Unit Price]]*Table1[[#This Row],[Quantity]]*VLOOKUP(C2,Table2[#All],2,FALSE),0)</f>
        <v>4282</v>
      </c>
      <c r="P2">
        <f>ROUND(F2*G2,0)</f>
        <v>6588</v>
      </c>
      <c r="Q2">
        <f>ROUND((G2*F2)-O2,0)</f>
        <v>2306</v>
      </c>
    </row>
    <row r="3" spans="1:17">
      <c r="A3" t="s">
        <v>84</v>
      </c>
      <c r="B3" t="s">
        <v>11</v>
      </c>
      <c r="C3" t="s">
        <v>12</v>
      </c>
      <c r="D3" s="1">
        <v>45799</v>
      </c>
      <c r="E3" s="1">
        <v>45806</v>
      </c>
      <c r="F3">
        <v>8</v>
      </c>
      <c r="G3">
        <v>453</v>
      </c>
      <c r="H3" t="s">
        <v>27</v>
      </c>
      <c r="I3" t="s">
        <v>548</v>
      </c>
      <c r="J3" t="s">
        <v>18</v>
      </c>
      <c r="K3">
        <f>YEAR(D3)</f>
        <v>2025</v>
      </c>
      <c r="L3" t="str">
        <f>TEXT(D3,"mmm")</f>
        <v>May</v>
      </c>
      <c r="M3" t="str">
        <f>TEXT(D3,"ddd")</f>
        <v>Thu</v>
      </c>
      <c r="N3">
        <f>DATEDIF(D3, E3, "d")</f>
        <v>7</v>
      </c>
      <c r="O3">
        <f>ROUND(Table1[[#This Row],[Unit Price]]*Table1[[#This Row],[Quantity]]*VLOOKUP(C3,Table2[#All],2,FALSE),0)</f>
        <v>2718</v>
      </c>
      <c r="P3">
        <f>ROUND(F3*G3,0)</f>
        <v>3624</v>
      </c>
      <c r="Q3">
        <f>ROUND((G3*F3)-O3,0)</f>
        <v>906</v>
      </c>
    </row>
    <row r="4" spans="1:17">
      <c r="A4" t="s">
        <v>182</v>
      </c>
      <c r="B4" t="s">
        <v>16</v>
      </c>
      <c r="C4" t="s">
        <v>63</v>
      </c>
      <c r="D4" s="1">
        <v>45470</v>
      </c>
      <c r="E4" s="1">
        <v>45478</v>
      </c>
      <c r="F4">
        <v>6</v>
      </c>
      <c r="G4">
        <v>754</v>
      </c>
      <c r="H4" t="s">
        <v>13</v>
      </c>
      <c r="I4" t="s">
        <v>548</v>
      </c>
      <c r="J4" t="s">
        <v>14</v>
      </c>
      <c r="K4">
        <f>YEAR(D4)</f>
        <v>2024</v>
      </c>
      <c r="L4" t="str">
        <f>TEXT(D4,"mmm")</f>
        <v>Jun</v>
      </c>
      <c r="M4" t="str">
        <f>TEXT(D4,"ddd")</f>
        <v>Thu</v>
      </c>
      <c r="N4">
        <f>DATEDIF(D4, E4, "d")</f>
        <v>8</v>
      </c>
      <c r="O4">
        <f>ROUND(Table1[[#This Row],[Unit Price]]*Table1[[#This Row],[Quantity]]*VLOOKUP(C4,Table2[#All],2,FALSE),0)</f>
        <v>2262</v>
      </c>
      <c r="P4">
        <f>ROUND(F4*G4,0)</f>
        <v>4524</v>
      </c>
      <c r="Q4">
        <f>ROUND((G4*F4)-O4,0)</f>
        <v>2262</v>
      </c>
    </row>
    <row r="5" spans="1:17">
      <c r="A5" t="s">
        <v>220</v>
      </c>
      <c r="B5" t="s">
        <v>20</v>
      </c>
      <c r="C5" t="s">
        <v>82</v>
      </c>
      <c r="D5" s="1">
        <v>45606</v>
      </c>
      <c r="E5" s="1">
        <v>45614</v>
      </c>
      <c r="F5">
        <v>9</v>
      </c>
      <c r="G5">
        <v>105</v>
      </c>
      <c r="H5" t="s">
        <v>27</v>
      </c>
      <c r="I5" t="s">
        <v>32</v>
      </c>
      <c r="J5" t="s">
        <v>28</v>
      </c>
      <c r="K5">
        <f>YEAR(D5)</f>
        <v>2024</v>
      </c>
      <c r="L5" t="str">
        <f>TEXT(D5,"mmm")</f>
        <v>Nov</v>
      </c>
      <c r="M5" t="str">
        <f>TEXT(D5,"ddd")</f>
        <v>Sun</v>
      </c>
      <c r="N5">
        <f>DATEDIF(D5, E5, "d")</f>
        <v>8</v>
      </c>
      <c r="O5">
        <f>ROUND(Table1[[#This Row],[Unit Price]]*Table1[[#This Row],[Quantity]]*VLOOKUP(C5,Table2[#All],2,FALSE),0)</f>
        <v>756</v>
      </c>
      <c r="P5">
        <f>ROUND(F5*G5,0)</f>
        <v>945</v>
      </c>
      <c r="Q5">
        <f>ROUND((G5*F5)-O5,0)</f>
        <v>189</v>
      </c>
    </row>
    <row r="6" spans="1:17">
      <c r="A6" t="s">
        <v>524</v>
      </c>
      <c r="B6" t="s">
        <v>16</v>
      </c>
      <c r="C6" t="s">
        <v>17</v>
      </c>
      <c r="D6" s="1">
        <v>45953</v>
      </c>
      <c r="E6" s="1">
        <v>45963</v>
      </c>
      <c r="F6">
        <v>1</v>
      </c>
      <c r="G6">
        <v>950</v>
      </c>
      <c r="H6" t="s">
        <v>13</v>
      </c>
      <c r="I6" t="s">
        <v>548</v>
      </c>
      <c r="J6" t="s">
        <v>18</v>
      </c>
      <c r="K6">
        <f>YEAR(D6)</f>
        <v>2025</v>
      </c>
      <c r="L6" t="str">
        <f>TEXT(D6,"mmm")</f>
        <v>Oct</v>
      </c>
      <c r="M6" t="str">
        <f>TEXT(D6,"ddd")</f>
        <v>Thu</v>
      </c>
      <c r="N6">
        <f>DATEDIF(D6, E6, "d")</f>
        <v>10</v>
      </c>
      <c r="O6">
        <f>ROUND(Table1[[#This Row],[Unit Price]]*Table1[[#This Row],[Quantity]]*VLOOKUP(C6,Table2[#All],2,FALSE),0)</f>
        <v>475</v>
      </c>
      <c r="P6">
        <f>ROUND(F6*G6,0)</f>
        <v>950</v>
      </c>
      <c r="Q6">
        <f>ROUND((G6*F6)-O6,0)</f>
        <v>475</v>
      </c>
    </row>
    <row r="7" spans="1:17">
      <c r="A7" t="s">
        <v>326</v>
      </c>
      <c r="B7" t="s">
        <v>11</v>
      </c>
      <c r="C7" t="s">
        <v>95</v>
      </c>
      <c r="D7" s="1">
        <v>45397</v>
      </c>
      <c r="E7" s="1">
        <v>45400</v>
      </c>
      <c r="F7">
        <v>9</v>
      </c>
      <c r="G7">
        <v>631</v>
      </c>
      <c r="H7" t="s">
        <v>27</v>
      </c>
      <c r="I7" t="s">
        <v>551</v>
      </c>
      <c r="J7" t="s">
        <v>18</v>
      </c>
      <c r="K7">
        <f>YEAR(D7)</f>
        <v>2024</v>
      </c>
      <c r="L7" t="str">
        <f>TEXT(D7,"mmm")</f>
        <v>Apr</v>
      </c>
      <c r="M7" t="str">
        <f>TEXT(D7,"ddd")</f>
        <v>Mon</v>
      </c>
      <c r="N7">
        <f>DATEDIF(D7, E7, "d")</f>
        <v>3</v>
      </c>
      <c r="O7">
        <f>ROUND(Table1[[#This Row],[Unit Price]]*Table1[[#This Row],[Quantity]]*VLOOKUP(C7,Table2[#All],2,FALSE),0)</f>
        <v>3975</v>
      </c>
      <c r="P7">
        <f>ROUND(F7*G7,0)</f>
        <v>5679</v>
      </c>
      <c r="Q7">
        <f>ROUND((G7*F7)-O7,0)</f>
        <v>1704</v>
      </c>
    </row>
    <row r="8" spans="1:17">
      <c r="A8" t="s">
        <v>615</v>
      </c>
      <c r="B8" t="s">
        <v>16</v>
      </c>
      <c r="C8" t="s">
        <v>55</v>
      </c>
      <c r="D8" s="1">
        <v>45397</v>
      </c>
      <c r="E8" s="1">
        <v>45402</v>
      </c>
      <c r="F8">
        <v>1</v>
      </c>
      <c r="G8">
        <v>150</v>
      </c>
      <c r="H8" t="s">
        <v>13</v>
      </c>
      <c r="I8" t="s">
        <v>550</v>
      </c>
      <c r="J8" t="s">
        <v>28</v>
      </c>
      <c r="K8">
        <f>YEAR(D8)</f>
        <v>2024</v>
      </c>
      <c r="L8" t="str">
        <f>TEXT(D8,"mmm")</f>
        <v>Apr</v>
      </c>
      <c r="M8" t="str">
        <f>TEXT(D8,"ddd")</f>
        <v>Mon</v>
      </c>
      <c r="N8">
        <f>DATEDIF(D8, E8, "d")</f>
        <v>5</v>
      </c>
      <c r="O8">
        <f>ROUND(Table1[[#This Row],[Unit Price]]*Table1[[#This Row],[Quantity]]*VLOOKUP(C8,Table2[#All],2,FALSE),0)</f>
        <v>83</v>
      </c>
      <c r="P8">
        <f>ROUND(F8*G8,0)</f>
        <v>150</v>
      </c>
      <c r="Q8">
        <f>ROUND((G8*F8)-O8,0)</f>
        <v>67</v>
      </c>
    </row>
    <row r="9" spans="1:17">
      <c r="A9" t="s">
        <v>434</v>
      </c>
      <c r="B9" t="s">
        <v>20</v>
      </c>
      <c r="C9" t="s">
        <v>53</v>
      </c>
      <c r="D9" s="1">
        <v>45881</v>
      </c>
      <c r="E9" s="1">
        <v>45891</v>
      </c>
      <c r="F9">
        <v>7</v>
      </c>
      <c r="G9">
        <v>894</v>
      </c>
      <c r="H9" t="s">
        <v>13</v>
      </c>
      <c r="I9" t="s">
        <v>549</v>
      </c>
      <c r="J9" t="s">
        <v>14</v>
      </c>
      <c r="K9">
        <f>YEAR(D9)</f>
        <v>2025</v>
      </c>
      <c r="L9" t="str">
        <f>TEXT(D9,"mmm")</f>
        <v>Aug</v>
      </c>
      <c r="M9" t="str">
        <f>TEXT(D9,"ddd")</f>
        <v>Tue</v>
      </c>
      <c r="N9">
        <f>DATEDIF(D9, E9, "d")</f>
        <v>10</v>
      </c>
      <c r="O9">
        <f>ROUND(Table1[[#This Row],[Unit Price]]*Table1[[#This Row],[Quantity]]*VLOOKUP(C9,Table2[#All],2,FALSE),0)</f>
        <v>4381</v>
      </c>
      <c r="P9">
        <f>ROUND(F9*G9,0)</f>
        <v>6258</v>
      </c>
      <c r="Q9">
        <f>ROUND((G9*F9)-O9,0)</f>
        <v>1877</v>
      </c>
    </row>
    <row r="10" spans="1:17">
      <c r="A10" t="s">
        <v>296</v>
      </c>
      <c r="B10" t="s">
        <v>23</v>
      </c>
      <c r="C10" t="s">
        <v>114</v>
      </c>
      <c r="D10" s="1">
        <v>45297</v>
      </c>
      <c r="E10" s="1">
        <v>45305</v>
      </c>
      <c r="F10">
        <v>2</v>
      </c>
      <c r="G10">
        <v>274</v>
      </c>
      <c r="H10" t="s">
        <v>27</v>
      </c>
      <c r="I10" t="s">
        <v>547</v>
      </c>
      <c r="J10" t="s">
        <v>18</v>
      </c>
      <c r="K10">
        <f>YEAR(D10)</f>
        <v>2024</v>
      </c>
      <c r="L10" t="str">
        <f>TEXT(D10,"mmm")</f>
        <v>Jan</v>
      </c>
      <c r="M10" t="str">
        <f>TEXT(D10,"ddd")</f>
        <v>Sat</v>
      </c>
      <c r="N10">
        <f>DATEDIF(D10, E10, "d")</f>
        <v>8</v>
      </c>
      <c r="O10">
        <f>ROUND(Table1[[#This Row],[Unit Price]]*Table1[[#This Row],[Quantity]]*VLOOKUP(C10,Table2[#All],2,FALSE),0)</f>
        <v>329</v>
      </c>
      <c r="P10">
        <f>ROUND(F10*G10,0)</f>
        <v>548</v>
      </c>
      <c r="Q10">
        <f>ROUND((G10*F10)-O10,0)</f>
        <v>219</v>
      </c>
    </row>
    <row r="11" spans="1:17">
      <c r="A11" t="s">
        <v>136</v>
      </c>
      <c r="B11" t="s">
        <v>16</v>
      </c>
      <c r="C11" t="s">
        <v>55</v>
      </c>
      <c r="D11" s="1">
        <v>45610</v>
      </c>
      <c r="E11" s="1">
        <v>45614</v>
      </c>
      <c r="F11">
        <v>8</v>
      </c>
      <c r="G11">
        <v>650</v>
      </c>
      <c r="H11" t="s">
        <v>13</v>
      </c>
      <c r="I11" t="s">
        <v>549</v>
      </c>
      <c r="J11" t="s">
        <v>28</v>
      </c>
      <c r="K11">
        <f>YEAR(D11)</f>
        <v>2024</v>
      </c>
      <c r="L11" t="str">
        <f>TEXT(D11,"mmm")</f>
        <v>Nov</v>
      </c>
      <c r="M11" t="str">
        <f>TEXT(D11,"ddd")</f>
        <v>Thu</v>
      </c>
      <c r="N11">
        <f>DATEDIF(D11, E11, "d")</f>
        <v>4</v>
      </c>
      <c r="O11">
        <f>ROUND(Table1[[#This Row],[Unit Price]]*Table1[[#This Row],[Quantity]]*VLOOKUP(C11,Table2[#All],2,FALSE),0)</f>
        <v>2860</v>
      </c>
      <c r="P11">
        <f>ROUND(F11*G11,0)</f>
        <v>5200</v>
      </c>
      <c r="Q11">
        <f>ROUND((G11*F11)-O11,0)</f>
        <v>2340</v>
      </c>
    </row>
    <row r="12" spans="1:17">
      <c r="A12" t="s">
        <v>273</v>
      </c>
      <c r="B12" t="s">
        <v>20</v>
      </c>
      <c r="C12" t="s">
        <v>51</v>
      </c>
      <c r="D12" s="1">
        <v>45620</v>
      </c>
      <c r="E12" s="1">
        <v>45623</v>
      </c>
      <c r="F12">
        <v>1</v>
      </c>
      <c r="G12">
        <v>546</v>
      </c>
      <c r="H12" t="s">
        <v>27</v>
      </c>
      <c r="I12" t="s">
        <v>550</v>
      </c>
      <c r="J12" t="s">
        <v>28</v>
      </c>
      <c r="K12">
        <f>YEAR(D12)</f>
        <v>2024</v>
      </c>
      <c r="L12" t="str">
        <f>TEXT(D12,"mmm")</f>
        <v>Nov</v>
      </c>
      <c r="M12" t="str">
        <f>TEXT(D12,"ddd")</f>
        <v>Sun</v>
      </c>
      <c r="N12">
        <f>DATEDIF(D12, E12, "d")</f>
        <v>3</v>
      </c>
      <c r="O12">
        <f>ROUND(Table1[[#This Row],[Unit Price]]*Table1[[#This Row],[Quantity]]*VLOOKUP(C12,Table2[#All],2,FALSE),0)</f>
        <v>382</v>
      </c>
      <c r="P12">
        <f>ROUND(F12*G12,0)</f>
        <v>546</v>
      </c>
      <c r="Q12">
        <f>ROUND((G12*F12)-O12,0)</f>
        <v>164</v>
      </c>
    </row>
    <row r="13" spans="1:17">
      <c r="A13" t="s">
        <v>177</v>
      </c>
      <c r="B13" t="s">
        <v>16</v>
      </c>
      <c r="C13" t="s">
        <v>55</v>
      </c>
      <c r="D13" s="1">
        <v>45315</v>
      </c>
      <c r="E13" s="1">
        <v>45329</v>
      </c>
      <c r="F13">
        <v>4</v>
      </c>
      <c r="G13">
        <v>414</v>
      </c>
      <c r="H13" t="s">
        <v>13</v>
      </c>
      <c r="I13" t="s">
        <v>32</v>
      </c>
      <c r="J13" t="s">
        <v>14</v>
      </c>
      <c r="K13">
        <f>YEAR(D13)</f>
        <v>2024</v>
      </c>
      <c r="L13" t="str">
        <f>TEXT(D13,"mmm")</f>
        <v>Jan</v>
      </c>
      <c r="M13" t="str">
        <f>TEXT(D13,"ddd")</f>
        <v>Wed</v>
      </c>
      <c r="N13">
        <f>DATEDIF(D13, E13, "d")</f>
        <v>14</v>
      </c>
      <c r="O13">
        <f>ROUND(Table1[[#This Row],[Unit Price]]*Table1[[#This Row],[Quantity]]*VLOOKUP(C13,Table2[#All],2,FALSE),0)</f>
        <v>911</v>
      </c>
      <c r="P13">
        <f>ROUND(F13*G13,0)</f>
        <v>1656</v>
      </c>
      <c r="Q13">
        <f>ROUND((G13*F13)-O13,0)</f>
        <v>745</v>
      </c>
    </row>
    <row r="14" spans="1:17">
      <c r="A14" t="s">
        <v>324</v>
      </c>
      <c r="B14" t="s">
        <v>16</v>
      </c>
      <c r="C14" t="s">
        <v>43</v>
      </c>
      <c r="D14" s="1">
        <v>45403</v>
      </c>
      <c r="E14" s="1">
        <v>45409</v>
      </c>
      <c r="F14">
        <v>2</v>
      </c>
      <c r="G14">
        <v>928</v>
      </c>
      <c r="H14" t="s">
        <v>13</v>
      </c>
      <c r="I14" t="s">
        <v>547</v>
      </c>
      <c r="J14" t="s">
        <v>14</v>
      </c>
      <c r="K14">
        <f>YEAR(D14)</f>
        <v>2024</v>
      </c>
      <c r="L14" t="str">
        <f>TEXT(D14,"mmm")</f>
        <v>Apr</v>
      </c>
      <c r="M14" t="str">
        <f>TEXT(D14,"ddd")</f>
        <v>Sun</v>
      </c>
      <c r="N14">
        <f>DATEDIF(D14, E14, "d")</f>
        <v>6</v>
      </c>
      <c r="O14">
        <f>ROUND(Table1[[#This Row],[Unit Price]]*Table1[[#This Row],[Quantity]]*VLOOKUP(C14,Table2[#All],2,FALSE),0)</f>
        <v>1114</v>
      </c>
      <c r="P14">
        <f>ROUND(F14*G14,0)</f>
        <v>1856</v>
      </c>
      <c r="Q14">
        <f>ROUND((G14*F14)-O14,0)</f>
        <v>742</v>
      </c>
    </row>
    <row r="15" spans="1:17">
      <c r="A15" t="s">
        <v>109</v>
      </c>
      <c r="B15" t="s">
        <v>23</v>
      </c>
      <c r="C15" t="s">
        <v>24</v>
      </c>
      <c r="D15" s="1">
        <v>45480</v>
      </c>
      <c r="E15" s="1">
        <v>45488</v>
      </c>
      <c r="F15">
        <v>3</v>
      </c>
      <c r="G15">
        <v>630</v>
      </c>
      <c r="H15" t="s">
        <v>13</v>
      </c>
      <c r="I15" t="s">
        <v>32</v>
      </c>
      <c r="J15" t="s">
        <v>14</v>
      </c>
      <c r="K15">
        <f>YEAR(D15)</f>
        <v>2024</v>
      </c>
      <c r="L15" t="str">
        <f>TEXT(D15,"mmm")</f>
        <v>Jul</v>
      </c>
      <c r="M15" t="str">
        <f>TEXT(D15,"ddd")</f>
        <v>Sun</v>
      </c>
      <c r="N15">
        <f>DATEDIF(D15, E15, "d")</f>
        <v>8</v>
      </c>
      <c r="O15">
        <f>ROUND(Table1[[#This Row],[Unit Price]]*Table1[[#This Row],[Quantity]]*VLOOKUP(C15,Table2[#All],2,FALSE),0)</f>
        <v>1040</v>
      </c>
      <c r="P15">
        <f>ROUND(F15*G15,0)</f>
        <v>1890</v>
      </c>
      <c r="Q15">
        <f>ROUND((G15*F15)-O15,0)</f>
        <v>850</v>
      </c>
    </row>
    <row r="16" spans="1:17">
      <c r="A16" t="s">
        <v>103</v>
      </c>
      <c r="B16" t="s">
        <v>30</v>
      </c>
      <c r="C16" t="s">
        <v>78</v>
      </c>
      <c r="D16" s="1">
        <v>45455</v>
      </c>
      <c r="E16" s="1">
        <v>45459</v>
      </c>
      <c r="F16">
        <v>9</v>
      </c>
      <c r="G16">
        <v>92</v>
      </c>
      <c r="H16" t="s">
        <v>13</v>
      </c>
      <c r="I16" t="s">
        <v>550</v>
      </c>
      <c r="J16" t="s">
        <v>18</v>
      </c>
      <c r="K16">
        <f>YEAR(D16)</f>
        <v>2024</v>
      </c>
      <c r="L16" t="str">
        <f>TEXT(D16,"mmm")</f>
        <v>Jun</v>
      </c>
      <c r="M16" t="str">
        <f>TEXT(D16,"ddd")</f>
        <v>Wed</v>
      </c>
      <c r="N16">
        <f>DATEDIF(D16, E16, "d")</f>
        <v>4</v>
      </c>
      <c r="O16">
        <f>ROUND(Table1[[#This Row],[Unit Price]]*Table1[[#This Row],[Quantity]]*VLOOKUP(C16,Table2[#All],2,FALSE),0)</f>
        <v>538</v>
      </c>
      <c r="P16">
        <f>ROUND(F16*G16,0)</f>
        <v>828</v>
      </c>
      <c r="Q16">
        <f>ROUND((G16*F16)-O16,0)</f>
        <v>290</v>
      </c>
    </row>
    <row r="17" spans="1:17">
      <c r="A17" t="s">
        <v>103</v>
      </c>
      <c r="B17" t="s">
        <v>30</v>
      </c>
      <c r="C17" t="s">
        <v>31</v>
      </c>
      <c r="D17" s="1">
        <v>45942</v>
      </c>
      <c r="E17" s="1">
        <v>45955</v>
      </c>
      <c r="F17">
        <v>5</v>
      </c>
      <c r="G17">
        <v>758</v>
      </c>
      <c r="H17" t="s">
        <v>27</v>
      </c>
      <c r="I17" t="s">
        <v>550</v>
      </c>
      <c r="J17" t="s">
        <v>18</v>
      </c>
      <c r="K17">
        <f>YEAR(D17)</f>
        <v>2025</v>
      </c>
      <c r="L17" t="str">
        <f>TEXT(D17,"mmm")</f>
        <v>Oct</v>
      </c>
      <c r="M17" t="str">
        <f>TEXT(D17,"ddd")</f>
        <v>Sun</v>
      </c>
      <c r="N17">
        <f>DATEDIF(D17, E17, "d")</f>
        <v>13</v>
      </c>
      <c r="O17">
        <f>ROUND(Table1[[#This Row],[Unit Price]]*Table1[[#This Row],[Quantity]]*VLOOKUP(C17,Table2[#All],2,FALSE),0)</f>
        <v>2843</v>
      </c>
      <c r="P17">
        <f>ROUND(F17*G17,0)</f>
        <v>3790</v>
      </c>
      <c r="Q17">
        <f>ROUND((G17*F17)-O17,0)</f>
        <v>947</v>
      </c>
    </row>
    <row r="18" spans="1:17">
      <c r="A18" t="s">
        <v>285</v>
      </c>
      <c r="B18" t="s">
        <v>16</v>
      </c>
      <c r="C18" t="s">
        <v>59</v>
      </c>
      <c r="D18" s="1">
        <v>45596</v>
      </c>
      <c r="E18" s="1">
        <v>45610</v>
      </c>
      <c r="F18">
        <v>7</v>
      </c>
      <c r="G18">
        <v>802</v>
      </c>
      <c r="H18" t="s">
        <v>27</v>
      </c>
      <c r="I18" t="s">
        <v>546</v>
      </c>
      <c r="J18" t="s">
        <v>18</v>
      </c>
      <c r="K18">
        <f>YEAR(D18)</f>
        <v>2024</v>
      </c>
      <c r="L18" t="str">
        <f>TEXT(D18,"mmm")</f>
        <v>Oct</v>
      </c>
      <c r="M18" t="str">
        <f>TEXT(D18,"ddd")</f>
        <v>Thu</v>
      </c>
      <c r="N18">
        <f>DATEDIF(D18, E18, "d")</f>
        <v>14</v>
      </c>
      <c r="O18">
        <f>ROUND(Table1[[#This Row],[Unit Price]]*Table1[[#This Row],[Quantity]]*VLOOKUP(C18,Table2[#All],2,FALSE),0)</f>
        <v>3649</v>
      </c>
      <c r="P18">
        <f>ROUND(F18*G18,0)</f>
        <v>5614</v>
      </c>
      <c r="Q18">
        <f>ROUND((G18*F18)-O18,0)</f>
        <v>1965</v>
      </c>
    </row>
    <row r="19" spans="1:17">
      <c r="A19" t="s">
        <v>307</v>
      </c>
      <c r="B19" t="s">
        <v>23</v>
      </c>
      <c r="C19" t="s">
        <v>37</v>
      </c>
      <c r="D19" s="1">
        <v>45655</v>
      </c>
      <c r="E19" s="1">
        <v>45659</v>
      </c>
      <c r="F19">
        <v>8</v>
      </c>
      <c r="G19">
        <v>510</v>
      </c>
      <c r="H19" t="s">
        <v>27</v>
      </c>
      <c r="I19" t="s">
        <v>547</v>
      </c>
      <c r="J19" t="s">
        <v>14</v>
      </c>
      <c r="K19">
        <f>YEAR(D19)</f>
        <v>2024</v>
      </c>
      <c r="L19" t="str">
        <f>TEXT(D19,"mmm")</f>
        <v>Dec</v>
      </c>
      <c r="M19" t="str">
        <f>TEXT(D19,"ddd")</f>
        <v>Sun</v>
      </c>
      <c r="N19">
        <f>DATEDIF(D19, E19, "d")</f>
        <v>4</v>
      </c>
      <c r="O19">
        <f>ROUND(Table1[[#This Row],[Unit Price]]*Table1[[#This Row],[Quantity]]*VLOOKUP(C19,Table2[#All],2,FALSE),0)</f>
        <v>2040</v>
      </c>
      <c r="P19">
        <f>ROUND(F19*G19,0)</f>
        <v>4080</v>
      </c>
      <c r="Q19">
        <f>ROUND((G19*F19)-O19,0)</f>
        <v>2040</v>
      </c>
    </row>
    <row r="20" spans="1:17">
      <c r="A20" t="s">
        <v>359</v>
      </c>
      <c r="B20" t="s">
        <v>30</v>
      </c>
      <c r="C20" t="s">
        <v>75</v>
      </c>
      <c r="D20" s="1">
        <v>45902</v>
      </c>
      <c r="E20" s="1">
        <v>45916</v>
      </c>
      <c r="F20">
        <v>2</v>
      </c>
      <c r="G20">
        <v>530</v>
      </c>
      <c r="H20" t="s">
        <v>27</v>
      </c>
      <c r="I20" t="s">
        <v>549</v>
      </c>
      <c r="J20" t="s">
        <v>18</v>
      </c>
      <c r="K20">
        <f>YEAR(D20)</f>
        <v>2025</v>
      </c>
      <c r="L20" t="str">
        <f>TEXT(D20,"mmm")</f>
        <v>Sep</v>
      </c>
      <c r="M20" t="str">
        <f>TEXT(D20,"ddd")</f>
        <v>Tue</v>
      </c>
      <c r="N20">
        <f>DATEDIF(D20, E20, "d")</f>
        <v>14</v>
      </c>
      <c r="O20">
        <f>ROUND(Table1[[#This Row],[Unit Price]]*Table1[[#This Row],[Quantity]]*VLOOKUP(C20,Table2[#All],2,FALSE),0)</f>
        <v>795</v>
      </c>
      <c r="P20">
        <f>ROUND(F20*G20,0)</f>
        <v>1060</v>
      </c>
      <c r="Q20">
        <f>ROUND((G20*F20)-O20,0)</f>
        <v>265</v>
      </c>
    </row>
    <row r="21" spans="1:17">
      <c r="A21" t="s">
        <v>10</v>
      </c>
      <c r="B21" t="s">
        <v>11</v>
      </c>
      <c r="C21" t="s">
        <v>12</v>
      </c>
      <c r="D21" s="1">
        <v>45432</v>
      </c>
      <c r="E21" s="1">
        <v>45436</v>
      </c>
      <c r="F21">
        <v>4</v>
      </c>
      <c r="G21">
        <v>238</v>
      </c>
      <c r="H21" t="s">
        <v>13</v>
      </c>
      <c r="I21" t="s">
        <v>550</v>
      </c>
      <c r="J21" t="s">
        <v>14</v>
      </c>
      <c r="K21">
        <f>YEAR(D21)</f>
        <v>2024</v>
      </c>
      <c r="L21" t="str">
        <f>TEXT(D21,"mmm")</f>
        <v>May</v>
      </c>
      <c r="M21" t="str">
        <f>TEXT(D21,"ddd")</f>
        <v>Mon</v>
      </c>
      <c r="N21">
        <f>DATEDIF(D21, E21, "d")</f>
        <v>4</v>
      </c>
      <c r="O21">
        <f>ROUND(Table1[[#This Row],[Unit Price]]*Table1[[#This Row],[Quantity]]*VLOOKUP(C21,Table2[#All],2,FALSE),0)</f>
        <v>714</v>
      </c>
      <c r="P21">
        <f>ROUND(F21*G21,0)</f>
        <v>952</v>
      </c>
      <c r="Q21">
        <f>ROUND((G21*F21)-O21,0)</f>
        <v>238</v>
      </c>
    </row>
    <row r="22" spans="1:17">
      <c r="A22" t="s">
        <v>509</v>
      </c>
      <c r="B22" t="s">
        <v>20</v>
      </c>
      <c r="C22" t="s">
        <v>21</v>
      </c>
      <c r="D22" s="1">
        <v>45683</v>
      </c>
      <c r="E22" s="1">
        <v>45686</v>
      </c>
      <c r="F22">
        <v>4</v>
      </c>
      <c r="G22">
        <v>200</v>
      </c>
      <c r="H22" t="s">
        <v>13</v>
      </c>
      <c r="I22" t="s">
        <v>548</v>
      </c>
      <c r="J22" t="s">
        <v>45</v>
      </c>
      <c r="K22">
        <f>YEAR(D22)</f>
        <v>2025</v>
      </c>
      <c r="L22" t="str">
        <f>TEXT(D22,"mmm")</f>
        <v>Jan</v>
      </c>
      <c r="M22" t="str">
        <f>TEXT(D22,"ddd")</f>
        <v>Sun</v>
      </c>
      <c r="N22">
        <f>DATEDIF(D22, E22, "d")</f>
        <v>3</v>
      </c>
      <c r="O22">
        <f>ROUND(Table1[[#This Row],[Unit Price]]*Table1[[#This Row],[Quantity]]*VLOOKUP(C22,Table2[#All],2,FALSE),0)</f>
        <v>600</v>
      </c>
      <c r="P22">
        <f>ROUND(F22*G22,0)</f>
        <v>800</v>
      </c>
      <c r="Q22">
        <f>ROUND((G22*F22)-O22,0)</f>
        <v>200</v>
      </c>
    </row>
    <row r="23" spans="1:17">
      <c r="A23" t="s">
        <v>517</v>
      </c>
      <c r="B23" t="s">
        <v>23</v>
      </c>
      <c r="C23" t="s">
        <v>24</v>
      </c>
      <c r="D23" s="1">
        <v>45770</v>
      </c>
      <c r="E23" s="1">
        <v>45779</v>
      </c>
      <c r="F23">
        <v>4</v>
      </c>
      <c r="G23">
        <v>689</v>
      </c>
      <c r="H23" t="s">
        <v>27</v>
      </c>
      <c r="I23" t="s">
        <v>548</v>
      </c>
      <c r="J23" t="s">
        <v>18</v>
      </c>
      <c r="K23">
        <f>YEAR(D23)</f>
        <v>2025</v>
      </c>
      <c r="L23" t="str">
        <f>TEXT(D23,"mmm")</f>
        <v>Apr</v>
      </c>
      <c r="M23" t="str">
        <f>TEXT(D23,"ddd")</f>
        <v>Wed</v>
      </c>
      <c r="N23">
        <f>DATEDIF(D23, E23, "d")</f>
        <v>9</v>
      </c>
      <c r="O23">
        <f>ROUND(Table1[[#This Row],[Unit Price]]*Table1[[#This Row],[Quantity]]*VLOOKUP(C23,Table2[#All],2,FALSE),0)</f>
        <v>1516</v>
      </c>
      <c r="P23">
        <f>ROUND(F23*G23,0)</f>
        <v>2756</v>
      </c>
      <c r="Q23">
        <f>ROUND((G23*F23)-O23,0)</f>
        <v>1240</v>
      </c>
    </row>
    <row r="24" spans="1:17">
      <c r="A24" t="s">
        <v>437</v>
      </c>
      <c r="B24" t="s">
        <v>20</v>
      </c>
      <c r="C24" t="s">
        <v>53</v>
      </c>
      <c r="D24" s="1">
        <v>45737</v>
      </c>
      <c r="E24" s="1">
        <v>45746</v>
      </c>
      <c r="F24">
        <v>6</v>
      </c>
      <c r="G24">
        <v>565</v>
      </c>
      <c r="H24" t="s">
        <v>13</v>
      </c>
      <c r="I24" t="s">
        <v>548</v>
      </c>
      <c r="J24" t="s">
        <v>45</v>
      </c>
      <c r="K24">
        <f>YEAR(D24)</f>
        <v>2025</v>
      </c>
      <c r="L24" t="str">
        <f>TEXT(D24,"mmm")</f>
        <v>Mar</v>
      </c>
      <c r="M24" t="str">
        <f>TEXT(D24,"ddd")</f>
        <v>Fri</v>
      </c>
      <c r="N24">
        <f>DATEDIF(D24, E24, "d")</f>
        <v>9</v>
      </c>
      <c r="O24">
        <f>ROUND(Table1[[#This Row],[Unit Price]]*Table1[[#This Row],[Quantity]]*VLOOKUP(C24,Table2[#All],2,FALSE),0)</f>
        <v>2373</v>
      </c>
      <c r="P24">
        <f>ROUND(F24*G24,0)</f>
        <v>3390</v>
      </c>
      <c r="Q24">
        <f>ROUND((G24*F24)-O24,0)</f>
        <v>1017</v>
      </c>
    </row>
    <row r="25" spans="1:17">
      <c r="A25" t="s">
        <v>58</v>
      </c>
      <c r="B25" t="s">
        <v>16</v>
      </c>
      <c r="C25" t="s">
        <v>59</v>
      </c>
      <c r="D25" s="1">
        <v>45508</v>
      </c>
      <c r="E25" s="1">
        <v>45520</v>
      </c>
      <c r="F25">
        <v>4</v>
      </c>
      <c r="G25">
        <v>961</v>
      </c>
      <c r="H25" t="s">
        <v>27</v>
      </c>
      <c r="I25" t="s">
        <v>32</v>
      </c>
      <c r="J25" t="s">
        <v>14</v>
      </c>
      <c r="K25">
        <f>YEAR(D25)</f>
        <v>2024</v>
      </c>
      <c r="L25" t="str">
        <f>TEXT(D25,"mmm")</f>
        <v>Aug</v>
      </c>
      <c r="M25" t="str">
        <f>TEXT(D25,"ddd")</f>
        <v>Sun</v>
      </c>
      <c r="N25">
        <f>DATEDIF(D25, E25, "d")</f>
        <v>12</v>
      </c>
      <c r="O25">
        <f>ROUND(Table1[[#This Row],[Unit Price]]*Table1[[#This Row],[Quantity]]*VLOOKUP(C25,Table2[#All],2,FALSE),0)</f>
        <v>2499</v>
      </c>
      <c r="P25">
        <f>ROUND(F25*G25,0)</f>
        <v>3844</v>
      </c>
      <c r="Q25">
        <f>ROUND((G25*F25)-O25,0)</f>
        <v>1345</v>
      </c>
    </row>
    <row r="26" spans="1:17">
      <c r="A26" t="s">
        <v>58</v>
      </c>
      <c r="B26" t="s">
        <v>30</v>
      </c>
      <c r="C26" t="s">
        <v>75</v>
      </c>
      <c r="D26" s="1">
        <v>45691</v>
      </c>
      <c r="E26" s="1">
        <v>45696</v>
      </c>
      <c r="F26">
        <v>7</v>
      </c>
      <c r="G26">
        <v>811</v>
      </c>
      <c r="H26" t="s">
        <v>27</v>
      </c>
      <c r="I26" t="s">
        <v>549</v>
      </c>
      <c r="J26" t="s">
        <v>14</v>
      </c>
      <c r="K26">
        <f>YEAR(D26)</f>
        <v>2025</v>
      </c>
      <c r="L26" t="str">
        <f>TEXT(D26,"mmm")</f>
        <v>Feb</v>
      </c>
      <c r="M26" t="str">
        <f>TEXT(D26,"ddd")</f>
        <v>Mon</v>
      </c>
      <c r="N26">
        <f>DATEDIF(D26, E26, "d")</f>
        <v>5</v>
      </c>
      <c r="O26">
        <f>ROUND(Table1[[#This Row],[Unit Price]]*Table1[[#This Row],[Quantity]]*VLOOKUP(C26,Table2[#All],2,FALSE),0)</f>
        <v>4258</v>
      </c>
      <c r="P26">
        <f>ROUND(F26*G26,0)</f>
        <v>5677</v>
      </c>
      <c r="Q26">
        <f>ROUND((G26*F26)-O26,0)</f>
        <v>1419</v>
      </c>
    </row>
    <row r="27" spans="1:17">
      <c r="A27" t="s">
        <v>108</v>
      </c>
      <c r="B27" t="s">
        <v>20</v>
      </c>
      <c r="C27" t="s">
        <v>53</v>
      </c>
      <c r="D27" s="1">
        <v>45356</v>
      </c>
      <c r="E27" s="1">
        <v>45365</v>
      </c>
      <c r="F27">
        <v>8</v>
      </c>
      <c r="G27">
        <v>695</v>
      </c>
      <c r="H27" t="s">
        <v>13</v>
      </c>
      <c r="I27" t="s">
        <v>550</v>
      </c>
      <c r="J27" t="s">
        <v>18</v>
      </c>
      <c r="K27">
        <f>YEAR(D27)</f>
        <v>2024</v>
      </c>
      <c r="L27" t="str">
        <f>TEXT(D27,"mmm")</f>
        <v>Mar</v>
      </c>
      <c r="M27" t="str">
        <f>TEXT(D27,"ddd")</f>
        <v>Tue</v>
      </c>
      <c r="N27">
        <f>DATEDIF(D27, E27, "d")</f>
        <v>9</v>
      </c>
      <c r="O27">
        <f>ROUND(Table1[[#This Row],[Unit Price]]*Table1[[#This Row],[Quantity]]*VLOOKUP(C27,Table2[#All],2,FALSE),0)</f>
        <v>3892</v>
      </c>
      <c r="P27">
        <f>ROUND(F27*G27,0)</f>
        <v>5560</v>
      </c>
      <c r="Q27">
        <f>ROUND((G27*F27)-O27,0)</f>
        <v>1668</v>
      </c>
    </row>
    <row r="28" spans="1:17">
      <c r="A28" t="s">
        <v>344</v>
      </c>
      <c r="B28" t="s">
        <v>23</v>
      </c>
      <c r="C28" t="s">
        <v>24</v>
      </c>
      <c r="D28" s="1">
        <v>45411</v>
      </c>
      <c r="E28" s="1">
        <v>45426</v>
      </c>
      <c r="F28">
        <v>2</v>
      </c>
      <c r="G28">
        <v>976</v>
      </c>
      <c r="H28" t="s">
        <v>27</v>
      </c>
      <c r="I28" t="s">
        <v>547</v>
      </c>
      <c r="J28" t="s">
        <v>45</v>
      </c>
      <c r="K28">
        <f>YEAR(D28)</f>
        <v>2024</v>
      </c>
      <c r="L28" t="str">
        <f>TEXT(D28,"mmm")</f>
        <v>Apr</v>
      </c>
      <c r="M28" t="str">
        <f>TEXT(D28,"ddd")</f>
        <v>Mon</v>
      </c>
      <c r="N28">
        <f>DATEDIF(D28, E28, "d")</f>
        <v>15</v>
      </c>
      <c r="O28">
        <f>ROUND(Table1[[#This Row],[Unit Price]]*Table1[[#This Row],[Quantity]]*VLOOKUP(C28,Table2[#All],2,FALSE),0)</f>
        <v>1074</v>
      </c>
      <c r="P28">
        <f>ROUND(F28*G28,0)</f>
        <v>1952</v>
      </c>
      <c r="Q28">
        <f>ROUND((G28*F28)-O28,0)</f>
        <v>878</v>
      </c>
    </row>
    <row r="29" spans="1:17">
      <c r="A29" t="s">
        <v>415</v>
      </c>
      <c r="B29" t="s">
        <v>23</v>
      </c>
      <c r="C29" t="s">
        <v>69</v>
      </c>
      <c r="D29" s="1">
        <v>45913</v>
      </c>
      <c r="E29" s="1">
        <v>45922</v>
      </c>
      <c r="F29">
        <v>9</v>
      </c>
      <c r="G29">
        <v>605</v>
      </c>
      <c r="H29" t="s">
        <v>27</v>
      </c>
      <c r="I29" t="s">
        <v>549</v>
      </c>
      <c r="J29" t="s">
        <v>45</v>
      </c>
      <c r="K29">
        <f>YEAR(D29)</f>
        <v>2025</v>
      </c>
      <c r="L29" t="str">
        <f>TEXT(D29,"mmm")</f>
        <v>Sep</v>
      </c>
      <c r="M29" t="str">
        <f>TEXT(D29,"ddd")</f>
        <v>Sat</v>
      </c>
      <c r="N29">
        <f>DATEDIF(D29, E29, "d")</f>
        <v>9</v>
      </c>
      <c r="O29">
        <f>ROUND(Table1[[#This Row],[Unit Price]]*Table1[[#This Row],[Quantity]]*VLOOKUP(C29,Table2[#All],2,FALSE),0)</f>
        <v>2995</v>
      </c>
      <c r="P29">
        <f>ROUND(F29*G29,0)</f>
        <v>5445</v>
      </c>
      <c r="Q29">
        <f>ROUND((G29*F29)-O29,0)</f>
        <v>2450</v>
      </c>
    </row>
    <row r="30" spans="1:17">
      <c r="A30" t="s">
        <v>88</v>
      </c>
      <c r="B30" t="s">
        <v>20</v>
      </c>
      <c r="C30" t="s">
        <v>39</v>
      </c>
      <c r="D30" s="1">
        <v>45487</v>
      </c>
      <c r="E30" s="1">
        <v>45495</v>
      </c>
      <c r="F30">
        <v>1</v>
      </c>
      <c r="G30">
        <v>889</v>
      </c>
      <c r="H30" t="s">
        <v>13</v>
      </c>
      <c r="I30" t="s">
        <v>549</v>
      </c>
      <c r="J30" t="s">
        <v>14</v>
      </c>
      <c r="K30">
        <f>YEAR(D30)</f>
        <v>2024</v>
      </c>
      <c r="L30" t="str">
        <f>TEXT(D30,"mmm")</f>
        <v>Jul</v>
      </c>
      <c r="M30" t="str">
        <f>TEXT(D30,"ddd")</f>
        <v>Sun</v>
      </c>
      <c r="N30">
        <f>DATEDIF(D30, E30, "d")</f>
        <v>8</v>
      </c>
      <c r="O30">
        <f>ROUND(Table1[[#This Row],[Unit Price]]*Table1[[#This Row],[Quantity]]*VLOOKUP(C30,Table2[#All],2,FALSE),0)</f>
        <v>578</v>
      </c>
      <c r="P30">
        <f>ROUND(F30*G30,0)</f>
        <v>889</v>
      </c>
      <c r="Q30">
        <f>ROUND((G30*F30)-O30,0)</f>
        <v>311</v>
      </c>
    </row>
    <row r="31" spans="1:17">
      <c r="A31" t="s">
        <v>88</v>
      </c>
      <c r="B31" t="s">
        <v>16</v>
      </c>
      <c r="C31" t="s">
        <v>17</v>
      </c>
      <c r="D31" s="1">
        <v>45871</v>
      </c>
      <c r="E31" s="1">
        <v>45875</v>
      </c>
      <c r="F31">
        <v>1</v>
      </c>
      <c r="G31">
        <v>98</v>
      </c>
      <c r="H31" t="s">
        <v>27</v>
      </c>
      <c r="I31" t="s">
        <v>549</v>
      </c>
      <c r="J31" t="s">
        <v>45</v>
      </c>
      <c r="K31">
        <f>YEAR(D31)</f>
        <v>2025</v>
      </c>
      <c r="L31" t="str">
        <f>TEXT(D31,"mmm")</f>
        <v>Aug</v>
      </c>
      <c r="M31" t="str">
        <f>TEXT(D31,"ddd")</f>
        <v>Sat</v>
      </c>
      <c r="N31">
        <f>DATEDIF(D31, E31, "d")</f>
        <v>4</v>
      </c>
      <c r="O31">
        <f>ROUND(Table1[[#This Row],[Unit Price]]*Table1[[#This Row],[Quantity]]*VLOOKUP(C31,Table2[#All],2,FALSE),0)</f>
        <v>49</v>
      </c>
      <c r="P31">
        <f>ROUND(F31*G31,0)</f>
        <v>98</v>
      </c>
      <c r="Q31">
        <f>ROUND((G31*F31)-O31,0)</f>
        <v>49</v>
      </c>
    </row>
    <row r="32" spans="1:17">
      <c r="A32" t="s">
        <v>131</v>
      </c>
      <c r="B32" t="s">
        <v>11</v>
      </c>
      <c r="C32" t="s">
        <v>26</v>
      </c>
      <c r="D32" s="1">
        <v>45457</v>
      </c>
      <c r="E32" s="1">
        <v>45462</v>
      </c>
      <c r="F32">
        <v>10</v>
      </c>
      <c r="G32">
        <v>266</v>
      </c>
      <c r="H32" t="s">
        <v>13</v>
      </c>
      <c r="I32" t="s">
        <v>550</v>
      </c>
      <c r="J32" t="s">
        <v>14</v>
      </c>
      <c r="K32">
        <f>YEAR(D32)</f>
        <v>2024</v>
      </c>
      <c r="L32" t="str">
        <f>TEXT(D32,"mmm")</f>
        <v>Jun</v>
      </c>
      <c r="M32" t="str">
        <f>TEXT(D32,"ddd")</f>
        <v>Fri</v>
      </c>
      <c r="N32">
        <f>DATEDIF(D32, E32, "d")</f>
        <v>5</v>
      </c>
      <c r="O32">
        <f>ROUND(Table1[[#This Row],[Unit Price]]*Table1[[#This Row],[Quantity]]*VLOOKUP(C32,Table2[#All],2,FALSE),0)</f>
        <v>1729</v>
      </c>
      <c r="P32">
        <f>ROUND(F32*G32,0)</f>
        <v>2660</v>
      </c>
      <c r="Q32">
        <f>ROUND((G32*F32)-O32,0)</f>
        <v>931</v>
      </c>
    </row>
    <row r="33" spans="1:17">
      <c r="A33" t="s">
        <v>525</v>
      </c>
      <c r="B33" t="s">
        <v>20</v>
      </c>
      <c r="C33" t="s">
        <v>39</v>
      </c>
      <c r="D33" s="1">
        <v>45716</v>
      </c>
      <c r="E33" s="1">
        <v>45722</v>
      </c>
      <c r="F33">
        <v>7</v>
      </c>
      <c r="G33">
        <v>996</v>
      </c>
      <c r="H33" t="s">
        <v>13</v>
      </c>
      <c r="I33" t="s">
        <v>546</v>
      </c>
      <c r="J33" t="s">
        <v>14</v>
      </c>
      <c r="K33">
        <f>YEAR(D33)</f>
        <v>2025</v>
      </c>
      <c r="L33" t="str">
        <f>TEXT(D33,"mmm")</f>
        <v>Feb</v>
      </c>
      <c r="M33" t="str">
        <f>TEXT(D33,"ddd")</f>
        <v>Fri</v>
      </c>
      <c r="N33">
        <f>DATEDIF(D33, E33, "d")</f>
        <v>6</v>
      </c>
      <c r="O33">
        <f>ROUND(Table1[[#This Row],[Unit Price]]*Table1[[#This Row],[Quantity]]*VLOOKUP(C33,Table2[#All],2,FALSE),0)</f>
        <v>4532</v>
      </c>
      <c r="P33">
        <f>ROUND(F33*G33,0)</f>
        <v>6972</v>
      </c>
      <c r="Q33">
        <f>ROUND((G33*F33)-O33,0)</f>
        <v>2440</v>
      </c>
    </row>
    <row r="34" spans="1:17">
      <c r="A34" t="s">
        <v>347</v>
      </c>
      <c r="B34" t="s">
        <v>23</v>
      </c>
      <c r="C34" t="s">
        <v>37</v>
      </c>
      <c r="D34" s="1">
        <v>45576</v>
      </c>
      <c r="E34" s="1">
        <v>45588</v>
      </c>
      <c r="F34">
        <v>9</v>
      </c>
      <c r="G34">
        <v>265</v>
      </c>
      <c r="H34" t="s">
        <v>13</v>
      </c>
      <c r="I34" t="s">
        <v>547</v>
      </c>
      <c r="J34" t="s">
        <v>28</v>
      </c>
      <c r="K34">
        <f>YEAR(D34)</f>
        <v>2024</v>
      </c>
      <c r="L34" t="str">
        <f>TEXT(D34,"mmm")</f>
        <v>Oct</v>
      </c>
      <c r="M34" t="str">
        <f>TEXT(D34,"ddd")</f>
        <v>Fri</v>
      </c>
      <c r="N34">
        <f>DATEDIF(D34, E34, "d")</f>
        <v>12</v>
      </c>
      <c r="O34">
        <f>ROUND(Table1[[#This Row],[Unit Price]]*Table1[[#This Row],[Quantity]]*VLOOKUP(C34,Table2[#All],2,FALSE),0)</f>
        <v>1193</v>
      </c>
      <c r="P34">
        <f>ROUND(F34*G34,0)</f>
        <v>2385</v>
      </c>
      <c r="Q34">
        <f>ROUND((G34*F34)-O34,0)</f>
        <v>1192</v>
      </c>
    </row>
    <row r="35" spans="1:17">
      <c r="A35" t="s">
        <v>29</v>
      </c>
      <c r="B35" t="s">
        <v>30</v>
      </c>
      <c r="C35" t="s">
        <v>31</v>
      </c>
      <c r="D35" s="1">
        <v>45477</v>
      </c>
      <c r="E35" s="1">
        <v>45483</v>
      </c>
      <c r="F35">
        <v>10</v>
      </c>
      <c r="G35">
        <v>206</v>
      </c>
      <c r="H35" t="s">
        <v>13</v>
      </c>
      <c r="I35" t="s">
        <v>32</v>
      </c>
      <c r="J35" t="s">
        <v>28</v>
      </c>
      <c r="K35">
        <f>YEAR(D35)</f>
        <v>2024</v>
      </c>
      <c r="L35" t="str">
        <f>TEXT(D35,"mmm")</f>
        <v>Jul</v>
      </c>
      <c r="M35" t="str">
        <f>TEXT(D35,"ddd")</f>
        <v>Thu</v>
      </c>
      <c r="N35">
        <f>DATEDIF(D35, E35, "d")</f>
        <v>6</v>
      </c>
      <c r="O35">
        <f>ROUND(Table1[[#This Row],[Unit Price]]*Table1[[#This Row],[Quantity]]*VLOOKUP(C35,Table2[#All],2,FALSE),0)</f>
        <v>1545</v>
      </c>
      <c r="P35">
        <f>ROUND(F35*G35,0)</f>
        <v>2060</v>
      </c>
      <c r="Q35">
        <f>ROUND((G35*F35)-O35,0)</f>
        <v>515</v>
      </c>
    </row>
    <row r="36" spans="1:17">
      <c r="A36" t="s">
        <v>420</v>
      </c>
      <c r="B36" t="s">
        <v>20</v>
      </c>
      <c r="C36" t="s">
        <v>53</v>
      </c>
      <c r="D36" s="1">
        <v>45704</v>
      </c>
      <c r="E36" s="1">
        <v>45710</v>
      </c>
      <c r="F36">
        <v>6</v>
      </c>
      <c r="G36">
        <v>678</v>
      </c>
      <c r="H36" t="s">
        <v>27</v>
      </c>
      <c r="I36" t="s">
        <v>550</v>
      </c>
      <c r="J36" t="s">
        <v>45</v>
      </c>
      <c r="K36">
        <f>YEAR(D36)</f>
        <v>2025</v>
      </c>
      <c r="L36" t="str">
        <f>TEXT(D36,"mmm")</f>
        <v>Feb</v>
      </c>
      <c r="M36" t="str">
        <f>TEXT(D36,"ddd")</f>
        <v>Sun</v>
      </c>
      <c r="N36">
        <f>DATEDIF(D36, E36, "d")</f>
        <v>6</v>
      </c>
      <c r="O36">
        <f>ROUND(Table1[[#This Row],[Unit Price]]*Table1[[#This Row],[Quantity]]*VLOOKUP(C36,Table2[#All],2,FALSE),0)</f>
        <v>2848</v>
      </c>
      <c r="P36">
        <f>ROUND(F36*G36,0)</f>
        <v>4068</v>
      </c>
      <c r="Q36">
        <f>ROUND((G36*F36)-O36,0)</f>
        <v>1220</v>
      </c>
    </row>
    <row r="37" spans="1:17">
      <c r="A37" t="s">
        <v>61</v>
      </c>
      <c r="B37" t="s">
        <v>20</v>
      </c>
      <c r="C37" t="s">
        <v>53</v>
      </c>
      <c r="D37" s="1">
        <v>45324</v>
      </c>
      <c r="E37" s="1">
        <v>45334</v>
      </c>
      <c r="F37">
        <v>6</v>
      </c>
      <c r="G37">
        <v>31</v>
      </c>
      <c r="H37" t="s">
        <v>13</v>
      </c>
      <c r="I37" t="s">
        <v>32</v>
      </c>
      <c r="J37" t="s">
        <v>28</v>
      </c>
      <c r="K37">
        <f>YEAR(D37)</f>
        <v>2024</v>
      </c>
      <c r="L37" t="str">
        <f>TEXT(D37,"mmm")</f>
        <v>Feb</v>
      </c>
      <c r="M37" t="str">
        <f>TEXT(D37,"ddd")</f>
        <v>Fri</v>
      </c>
      <c r="N37">
        <f>DATEDIF(D37, E37, "d")</f>
        <v>10</v>
      </c>
      <c r="O37">
        <f>ROUND(Table1[[#This Row],[Unit Price]]*Table1[[#This Row],[Quantity]]*VLOOKUP(C37,Table2[#All],2,FALSE),0)</f>
        <v>130</v>
      </c>
      <c r="P37">
        <f>ROUND(F37*G37,0)</f>
        <v>186</v>
      </c>
      <c r="Q37">
        <f>ROUND((G37*F37)-O37,0)</f>
        <v>56</v>
      </c>
    </row>
    <row r="38" spans="1:17">
      <c r="A38" t="s">
        <v>61</v>
      </c>
      <c r="B38" t="s">
        <v>30</v>
      </c>
      <c r="C38" t="s">
        <v>31</v>
      </c>
      <c r="D38" s="1">
        <v>45741</v>
      </c>
      <c r="E38" s="1">
        <v>45752</v>
      </c>
      <c r="F38">
        <v>3</v>
      </c>
      <c r="G38">
        <v>774</v>
      </c>
      <c r="H38" t="s">
        <v>27</v>
      </c>
      <c r="I38" t="s">
        <v>546</v>
      </c>
      <c r="J38" t="s">
        <v>18</v>
      </c>
      <c r="K38">
        <f>YEAR(D38)</f>
        <v>2025</v>
      </c>
      <c r="L38" t="str">
        <f>TEXT(D38,"mmm")</f>
        <v>Mar</v>
      </c>
      <c r="M38" t="str">
        <f>TEXT(D38,"ddd")</f>
        <v>Tue</v>
      </c>
      <c r="N38">
        <f>DATEDIF(D38, E38, "d")</f>
        <v>11</v>
      </c>
      <c r="O38">
        <f>ROUND(Table1[[#This Row],[Unit Price]]*Table1[[#This Row],[Quantity]]*VLOOKUP(C38,Table2[#All],2,FALSE),0)</f>
        <v>1742</v>
      </c>
      <c r="P38">
        <f>ROUND(F38*G38,0)</f>
        <v>2322</v>
      </c>
      <c r="Q38">
        <f>ROUND((G38*F38)-O38,0)</f>
        <v>580</v>
      </c>
    </row>
    <row r="39" spans="1:17">
      <c r="A39" t="s">
        <v>298</v>
      </c>
      <c r="B39" t="s">
        <v>11</v>
      </c>
      <c r="C39" t="s">
        <v>12</v>
      </c>
      <c r="D39" s="1">
        <v>45467</v>
      </c>
      <c r="E39" s="1">
        <v>45472</v>
      </c>
      <c r="F39">
        <v>2</v>
      </c>
      <c r="G39">
        <v>703</v>
      </c>
      <c r="H39" t="s">
        <v>27</v>
      </c>
      <c r="I39" t="s">
        <v>548</v>
      </c>
      <c r="J39" t="s">
        <v>28</v>
      </c>
      <c r="K39">
        <f>YEAR(D39)</f>
        <v>2024</v>
      </c>
      <c r="L39" t="str">
        <f>TEXT(D39,"mmm")</f>
        <v>Jun</v>
      </c>
      <c r="M39" t="str">
        <f>TEXT(D39,"ddd")</f>
        <v>Mon</v>
      </c>
      <c r="N39">
        <f>DATEDIF(D39, E39, "d")</f>
        <v>5</v>
      </c>
      <c r="O39">
        <f>ROUND(Table1[[#This Row],[Unit Price]]*Table1[[#This Row],[Quantity]]*VLOOKUP(C39,Table2[#All],2,FALSE),0)</f>
        <v>1055</v>
      </c>
      <c r="P39">
        <f>ROUND(F39*G39,0)</f>
        <v>1406</v>
      </c>
      <c r="Q39">
        <f>ROUND((G39*F39)-O39,0)</f>
        <v>351</v>
      </c>
    </row>
    <row r="40" spans="1:17">
      <c r="A40" t="s">
        <v>301</v>
      </c>
      <c r="B40" t="s">
        <v>30</v>
      </c>
      <c r="C40" t="s">
        <v>78</v>
      </c>
      <c r="D40" s="1">
        <v>45392</v>
      </c>
      <c r="E40" s="1">
        <v>45402</v>
      </c>
      <c r="F40">
        <v>8</v>
      </c>
      <c r="G40">
        <v>126</v>
      </c>
      <c r="H40" t="s">
        <v>27</v>
      </c>
      <c r="I40" t="s">
        <v>546</v>
      </c>
      <c r="J40" t="s">
        <v>14</v>
      </c>
      <c r="K40">
        <f>YEAR(D40)</f>
        <v>2024</v>
      </c>
      <c r="L40" t="str">
        <f>TEXT(D40,"mmm")</f>
        <v>Apr</v>
      </c>
      <c r="M40" t="str">
        <f>TEXT(D40,"ddd")</f>
        <v>Wed</v>
      </c>
      <c r="N40">
        <f>DATEDIF(D40, E40, "d")</f>
        <v>10</v>
      </c>
      <c r="O40">
        <f>ROUND(Table1[[#This Row],[Unit Price]]*Table1[[#This Row],[Quantity]]*VLOOKUP(C40,Table2[#All],2,FALSE),0)</f>
        <v>655</v>
      </c>
      <c r="P40">
        <f>ROUND(F40*G40,0)</f>
        <v>1008</v>
      </c>
      <c r="Q40">
        <f>ROUND((G40*F40)-O40,0)</f>
        <v>353</v>
      </c>
    </row>
    <row r="41" spans="1:17">
      <c r="A41" t="s">
        <v>472</v>
      </c>
      <c r="B41" t="s">
        <v>20</v>
      </c>
      <c r="C41" t="s">
        <v>21</v>
      </c>
      <c r="D41" s="1">
        <v>45862</v>
      </c>
      <c r="E41" s="1">
        <v>45865</v>
      </c>
      <c r="F41">
        <v>9</v>
      </c>
      <c r="G41">
        <v>855</v>
      </c>
      <c r="H41" t="s">
        <v>27</v>
      </c>
      <c r="I41" t="s">
        <v>32</v>
      </c>
      <c r="J41" t="s">
        <v>18</v>
      </c>
      <c r="K41">
        <f>YEAR(D41)</f>
        <v>2025</v>
      </c>
      <c r="L41" t="str">
        <f>TEXT(D41,"mmm")</f>
        <v>Jul</v>
      </c>
      <c r="M41" t="str">
        <f>TEXT(D41,"ddd")</f>
        <v>Thu</v>
      </c>
      <c r="N41">
        <f>DATEDIF(D41, E41, "d")</f>
        <v>3</v>
      </c>
      <c r="O41">
        <f>ROUND(Table1[[#This Row],[Unit Price]]*Table1[[#This Row],[Quantity]]*VLOOKUP(C41,Table2[#All],2,FALSE),0)</f>
        <v>5771</v>
      </c>
      <c r="P41">
        <f>ROUND(F41*G41,0)</f>
        <v>7695</v>
      </c>
      <c r="Q41">
        <f>ROUND((G41*F41)-O41,0)</f>
        <v>1924</v>
      </c>
    </row>
    <row r="42" spans="1:17">
      <c r="A42" t="s">
        <v>484</v>
      </c>
      <c r="B42" t="s">
        <v>30</v>
      </c>
      <c r="C42" t="s">
        <v>41</v>
      </c>
      <c r="D42" s="1">
        <v>45738</v>
      </c>
      <c r="E42" s="1">
        <v>45745</v>
      </c>
      <c r="F42">
        <v>2</v>
      </c>
      <c r="G42">
        <v>566</v>
      </c>
      <c r="H42" t="s">
        <v>27</v>
      </c>
      <c r="I42" t="s">
        <v>549</v>
      </c>
      <c r="J42" t="s">
        <v>18</v>
      </c>
      <c r="K42">
        <f>YEAR(D42)</f>
        <v>2025</v>
      </c>
      <c r="L42" t="str">
        <f>TEXT(D42,"mmm")</f>
        <v>Mar</v>
      </c>
      <c r="M42" t="str">
        <f>TEXT(D42,"ddd")</f>
        <v>Sat</v>
      </c>
      <c r="N42">
        <f>DATEDIF(D42, E42, "d")</f>
        <v>7</v>
      </c>
      <c r="O42">
        <f>ROUND(Table1[[#This Row],[Unit Price]]*Table1[[#This Row],[Quantity]]*VLOOKUP(C42,Table2[#All],2,FALSE),0)</f>
        <v>736</v>
      </c>
      <c r="P42">
        <f>ROUND(F42*G42,0)</f>
        <v>1132</v>
      </c>
      <c r="Q42">
        <f>ROUND((G42*F42)-O42,0)</f>
        <v>396</v>
      </c>
    </row>
    <row r="43" spans="1:17">
      <c r="A43" t="s">
        <v>116</v>
      </c>
      <c r="B43" t="s">
        <v>16</v>
      </c>
      <c r="C43" t="s">
        <v>55</v>
      </c>
      <c r="D43" s="1">
        <v>45576</v>
      </c>
      <c r="E43" s="1">
        <v>45582</v>
      </c>
      <c r="F43">
        <v>1</v>
      </c>
      <c r="G43">
        <v>539</v>
      </c>
      <c r="H43" t="s">
        <v>13</v>
      </c>
      <c r="I43" t="s">
        <v>550</v>
      </c>
      <c r="J43" t="s">
        <v>45</v>
      </c>
      <c r="K43">
        <f>YEAR(D43)</f>
        <v>2024</v>
      </c>
      <c r="L43" t="str">
        <f>TEXT(D43,"mmm")</f>
        <v>Oct</v>
      </c>
      <c r="M43" t="str">
        <f>TEXT(D43,"ddd")</f>
        <v>Fri</v>
      </c>
      <c r="N43">
        <f>DATEDIF(D43, E43, "d")</f>
        <v>6</v>
      </c>
      <c r="O43">
        <f>ROUND(Table1[[#This Row],[Unit Price]]*Table1[[#This Row],[Quantity]]*VLOOKUP(C43,Table2[#All],2,FALSE),0)</f>
        <v>296</v>
      </c>
      <c r="P43">
        <f>ROUND(F43*G43,0)</f>
        <v>539</v>
      </c>
      <c r="Q43">
        <f>ROUND((G43*F43)-O43,0)</f>
        <v>243</v>
      </c>
    </row>
    <row r="44" spans="1:17">
      <c r="A44" t="s">
        <v>127</v>
      </c>
      <c r="B44" t="s">
        <v>23</v>
      </c>
      <c r="C44" t="s">
        <v>114</v>
      </c>
      <c r="D44" s="1">
        <v>45643</v>
      </c>
      <c r="E44" s="1">
        <v>45656</v>
      </c>
      <c r="F44">
        <v>4</v>
      </c>
      <c r="G44">
        <v>956</v>
      </c>
      <c r="H44" t="s">
        <v>27</v>
      </c>
      <c r="I44" t="s">
        <v>546</v>
      </c>
      <c r="J44" t="s">
        <v>18</v>
      </c>
      <c r="K44">
        <f>YEAR(D44)</f>
        <v>2024</v>
      </c>
      <c r="L44" t="str">
        <f>TEXT(D44,"mmm")</f>
        <v>Dec</v>
      </c>
      <c r="M44" t="str">
        <f>TEXT(D44,"ddd")</f>
        <v>Tue</v>
      </c>
      <c r="N44">
        <f>DATEDIF(D44, E44, "d")</f>
        <v>13</v>
      </c>
      <c r="O44">
        <f>ROUND(Table1[[#This Row],[Unit Price]]*Table1[[#This Row],[Quantity]]*VLOOKUP(C44,Table2[#All],2,FALSE),0)</f>
        <v>2294</v>
      </c>
      <c r="P44">
        <f>ROUND(F44*G44,0)</f>
        <v>3824</v>
      </c>
      <c r="Q44">
        <f>ROUND((G44*F44)-O44,0)</f>
        <v>1530</v>
      </c>
    </row>
    <row r="45" spans="1:17">
      <c r="A45" t="s">
        <v>289</v>
      </c>
      <c r="B45" t="s">
        <v>30</v>
      </c>
      <c r="C45" t="s">
        <v>49</v>
      </c>
      <c r="D45" s="1">
        <v>45331</v>
      </c>
      <c r="E45" s="1">
        <v>45335</v>
      </c>
      <c r="F45">
        <v>6</v>
      </c>
      <c r="G45">
        <v>267</v>
      </c>
      <c r="H45" t="s">
        <v>27</v>
      </c>
      <c r="I45" t="s">
        <v>547</v>
      </c>
      <c r="J45" t="s">
        <v>28</v>
      </c>
      <c r="K45">
        <f>YEAR(D45)</f>
        <v>2024</v>
      </c>
      <c r="L45" t="str">
        <f>TEXT(D45,"mmm")</f>
        <v>Feb</v>
      </c>
      <c r="M45" t="str">
        <f>TEXT(D45,"ddd")</f>
        <v>Fri</v>
      </c>
      <c r="N45">
        <f>DATEDIF(D45, E45, "d")</f>
        <v>4</v>
      </c>
      <c r="O45">
        <f>ROUND(Table1[[#This Row],[Unit Price]]*Table1[[#This Row],[Quantity]]*VLOOKUP(C45,Table2[#All],2,FALSE),0)</f>
        <v>1121</v>
      </c>
      <c r="P45">
        <f>ROUND(F45*G45,0)</f>
        <v>1602</v>
      </c>
      <c r="Q45">
        <f>ROUND((G45*F45)-O45,0)</f>
        <v>481</v>
      </c>
    </row>
    <row r="46" spans="1:17">
      <c r="A46" t="s">
        <v>234</v>
      </c>
      <c r="B46" t="s">
        <v>23</v>
      </c>
      <c r="C46" t="s">
        <v>24</v>
      </c>
      <c r="D46" s="1">
        <v>45380</v>
      </c>
      <c r="E46" s="1">
        <v>45385</v>
      </c>
      <c r="F46">
        <v>8</v>
      </c>
      <c r="G46">
        <v>944</v>
      </c>
      <c r="H46" t="s">
        <v>27</v>
      </c>
      <c r="I46" t="s">
        <v>32</v>
      </c>
      <c r="J46" t="s">
        <v>18</v>
      </c>
      <c r="K46">
        <f>YEAR(D46)</f>
        <v>2024</v>
      </c>
      <c r="L46" t="str">
        <f>TEXT(D46,"mmm")</f>
        <v>Mar</v>
      </c>
      <c r="M46" t="str">
        <f>TEXT(D46,"ddd")</f>
        <v>Fri</v>
      </c>
      <c r="N46">
        <f>DATEDIF(D46, E46, "d")</f>
        <v>5</v>
      </c>
      <c r="O46">
        <f>ROUND(Table1[[#This Row],[Unit Price]]*Table1[[#This Row],[Quantity]]*VLOOKUP(C46,Table2[#All],2,FALSE),0)</f>
        <v>4154</v>
      </c>
      <c r="P46">
        <f>ROUND(F46*G46,0)</f>
        <v>7552</v>
      </c>
      <c r="Q46">
        <f>ROUND((G46*F46)-O46,0)</f>
        <v>3398</v>
      </c>
    </row>
    <row r="47" spans="1:17">
      <c r="A47" t="s">
        <v>34</v>
      </c>
      <c r="B47" t="s">
        <v>11</v>
      </c>
      <c r="C47" t="s">
        <v>35</v>
      </c>
      <c r="D47" s="1">
        <v>45617</v>
      </c>
      <c r="E47" s="1">
        <v>45627</v>
      </c>
      <c r="F47">
        <v>3</v>
      </c>
      <c r="G47">
        <v>556</v>
      </c>
      <c r="H47" t="s">
        <v>13</v>
      </c>
      <c r="I47" t="s">
        <v>32</v>
      </c>
      <c r="J47" t="s">
        <v>18</v>
      </c>
      <c r="K47">
        <f>YEAR(D47)</f>
        <v>2024</v>
      </c>
      <c r="L47" t="str">
        <f>TEXT(D47,"mmm")</f>
        <v>Nov</v>
      </c>
      <c r="M47" t="str">
        <f>TEXT(D47,"ddd")</f>
        <v>Thu</v>
      </c>
      <c r="N47">
        <f>DATEDIF(D47, E47, "d")</f>
        <v>10</v>
      </c>
      <c r="O47">
        <f>ROUND(Table1[[#This Row],[Unit Price]]*Table1[[#This Row],[Quantity]]*VLOOKUP(C47,Table2[#All],2,FALSE),0)</f>
        <v>1334</v>
      </c>
      <c r="P47">
        <f>ROUND(F47*G47,0)</f>
        <v>1668</v>
      </c>
      <c r="Q47">
        <f>ROUND((G47*F47)-O47,0)</f>
        <v>334</v>
      </c>
    </row>
    <row r="48" spans="1:17">
      <c r="A48" t="s">
        <v>230</v>
      </c>
      <c r="B48" t="s">
        <v>11</v>
      </c>
      <c r="C48" t="s">
        <v>26</v>
      </c>
      <c r="D48" s="1">
        <v>45590</v>
      </c>
      <c r="E48" s="1">
        <v>45602</v>
      </c>
      <c r="F48">
        <v>5</v>
      </c>
      <c r="G48">
        <v>825</v>
      </c>
      <c r="H48" t="s">
        <v>27</v>
      </c>
      <c r="I48" t="s">
        <v>32</v>
      </c>
      <c r="J48" t="s">
        <v>14</v>
      </c>
      <c r="K48">
        <f>YEAR(D48)</f>
        <v>2024</v>
      </c>
      <c r="L48" t="str">
        <f>TEXT(D48,"mmm")</f>
        <v>Oct</v>
      </c>
      <c r="M48" t="str">
        <f>TEXT(D48,"ddd")</f>
        <v>Fri</v>
      </c>
      <c r="N48">
        <f>DATEDIF(D48, E48, "d")</f>
        <v>12</v>
      </c>
      <c r="O48">
        <f>ROUND(Table1[[#This Row],[Unit Price]]*Table1[[#This Row],[Quantity]]*VLOOKUP(C48,Table2[#All],2,FALSE),0)</f>
        <v>2681</v>
      </c>
      <c r="P48">
        <f>ROUND(F48*G48,0)</f>
        <v>4125</v>
      </c>
      <c r="Q48">
        <f>ROUND((G48*F48)-O48,0)</f>
        <v>1444</v>
      </c>
    </row>
    <row r="49" spans="1:17">
      <c r="A49" t="s">
        <v>175</v>
      </c>
      <c r="B49" t="s">
        <v>30</v>
      </c>
      <c r="C49" t="s">
        <v>78</v>
      </c>
      <c r="D49" s="1">
        <v>45582</v>
      </c>
      <c r="E49" s="1">
        <v>45594</v>
      </c>
      <c r="F49">
        <v>10</v>
      </c>
      <c r="G49">
        <v>96</v>
      </c>
      <c r="H49" t="s">
        <v>13</v>
      </c>
      <c r="I49" t="s">
        <v>550</v>
      </c>
      <c r="J49" t="s">
        <v>28</v>
      </c>
      <c r="K49">
        <f>YEAR(D49)</f>
        <v>2024</v>
      </c>
      <c r="L49" t="str">
        <f>TEXT(D49,"mmm")</f>
        <v>Oct</v>
      </c>
      <c r="M49" t="str">
        <f>TEXT(D49,"ddd")</f>
        <v>Thu</v>
      </c>
      <c r="N49">
        <f>DATEDIF(D49, E49, "d")</f>
        <v>12</v>
      </c>
      <c r="O49">
        <f>ROUND(Table1[[#This Row],[Unit Price]]*Table1[[#This Row],[Quantity]]*VLOOKUP(C49,Table2[#All],2,FALSE),0)</f>
        <v>624</v>
      </c>
      <c r="P49">
        <f>ROUND(F49*G49,0)</f>
        <v>960</v>
      </c>
      <c r="Q49">
        <f>ROUND((G49*F49)-O49,0)</f>
        <v>336</v>
      </c>
    </row>
    <row r="50" spans="1:17">
      <c r="A50" t="s">
        <v>196</v>
      </c>
      <c r="B50" t="s">
        <v>16</v>
      </c>
      <c r="C50" t="s">
        <v>43</v>
      </c>
      <c r="D50" s="1">
        <v>45370</v>
      </c>
      <c r="E50" s="1">
        <v>45376</v>
      </c>
      <c r="F50">
        <v>3</v>
      </c>
      <c r="G50">
        <v>195</v>
      </c>
      <c r="H50" t="s">
        <v>13</v>
      </c>
      <c r="I50" t="s">
        <v>548</v>
      </c>
      <c r="J50" t="s">
        <v>14</v>
      </c>
      <c r="K50">
        <f>YEAR(D50)</f>
        <v>2024</v>
      </c>
      <c r="L50" t="str">
        <f>TEXT(D50,"mmm")</f>
        <v>Mar</v>
      </c>
      <c r="M50" t="str">
        <f>TEXT(D50,"ddd")</f>
        <v>Tue</v>
      </c>
      <c r="N50">
        <f>DATEDIF(D50, E50, "d")</f>
        <v>6</v>
      </c>
      <c r="O50">
        <f>ROUND(Table1[[#This Row],[Unit Price]]*Table1[[#This Row],[Quantity]]*VLOOKUP(C50,Table2[#All],2,FALSE),0)</f>
        <v>351</v>
      </c>
      <c r="P50">
        <f>ROUND(F50*G50,0)</f>
        <v>585</v>
      </c>
      <c r="Q50">
        <f>ROUND((G50*F50)-O50,0)</f>
        <v>234</v>
      </c>
    </row>
    <row r="51" spans="1:17">
      <c r="A51" t="s">
        <v>235</v>
      </c>
      <c r="B51" t="s">
        <v>30</v>
      </c>
      <c r="C51" t="s">
        <v>78</v>
      </c>
      <c r="D51" s="1">
        <v>45604</v>
      </c>
      <c r="E51" s="1">
        <v>45616</v>
      </c>
      <c r="F51">
        <v>8</v>
      </c>
      <c r="G51">
        <v>206</v>
      </c>
      <c r="H51" t="s">
        <v>27</v>
      </c>
      <c r="I51" t="s">
        <v>550</v>
      </c>
      <c r="J51" t="s">
        <v>28</v>
      </c>
      <c r="K51">
        <f>YEAR(D51)</f>
        <v>2024</v>
      </c>
      <c r="L51" t="str">
        <f>TEXT(D51,"mmm")</f>
        <v>Nov</v>
      </c>
      <c r="M51" t="str">
        <f>TEXT(D51,"ddd")</f>
        <v>Fri</v>
      </c>
      <c r="N51">
        <f>DATEDIF(D51, E51, "d")</f>
        <v>12</v>
      </c>
      <c r="O51">
        <f>ROUND(Table1[[#This Row],[Unit Price]]*Table1[[#This Row],[Quantity]]*VLOOKUP(C51,Table2[#All],2,FALSE),0)</f>
        <v>1071</v>
      </c>
      <c r="P51">
        <f>ROUND(F51*G51,0)</f>
        <v>1648</v>
      </c>
      <c r="Q51">
        <f>ROUND((G51*F51)-O51,0)</f>
        <v>577</v>
      </c>
    </row>
    <row r="52" spans="1:17">
      <c r="A52" t="s">
        <v>469</v>
      </c>
      <c r="B52" t="s">
        <v>16</v>
      </c>
      <c r="C52" t="s">
        <v>17</v>
      </c>
      <c r="D52" s="1">
        <v>45835</v>
      </c>
      <c r="E52" s="1">
        <v>45843</v>
      </c>
      <c r="F52">
        <v>4</v>
      </c>
      <c r="G52">
        <v>441</v>
      </c>
      <c r="H52" t="s">
        <v>13</v>
      </c>
      <c r="I52" t="s">
        <v>32</v>
      </c>
      <c r="J52" t="s">
        <v>14</v>
      </c>
      <c r="K52">
        <f>YEAR(D52)</f>
        <v>2025</v>
      </c>
      <c r="L52" t="str">
        <f>TEXT(D52,"mmm")</f>
        <v>Jun</v>
      </c>
      <c r="M52" t="str">
        <f>TEXT(D52,"ddd")</f>
        <v>Fri</v>
      </c>
      <c r="N52">
        <f>DATEDIF(D52, E52, "d")</f>
        <v>8</v>
      </c>
      <c r="O52">
        <f>ROUND(Table1[[#This Row],[Unit Price]]*Table1[[#This Row],[Quantity]]*VLOOKUP(C52,Table2[#All],2,FALSE),0)</f>
        <v>882</v>
      </c>
      <c r="P52">
        <f>ROUND(F52*G52,0)</f>
        <v>1764</v>
      </c>
      <c r="Q52">
        <f>ROUND((G52*F52)-O52,0)</f>
        <v>882</v>
      </c>
    </row>
    <row r="53" spans="1:17">
      <c r="A53" t="s">
        <v>540</v>
      </c>
      <c r="B53" t="s">
        <v>23</v>
      </c>
      <c r="C53" t="s">
        <v>69</v>
      </c>
      <c r="D53" s="1">
        <v>46002</v>
      </c>
      <c r="E53" s="1">
        <v>46010</v>
      </c>
      <c r="F53">
        <v>2</v>
      </c>
      <c r="G53">
        <v>876</v>
      </c>
      <c r="H53" t="s">
        <v>27</v>
      </c>
      <c r="I53" t="s">
        <v>546</v>
      </c>
      <c r="J53" t="s">
        <v>14</v>
      </c>
      <c r="K53">
        <f>YEAR(D53)</f>
        <v>2025</v>
      </c>
      <c r="L53" t="str">
        <f>TEXT(D53,"mmm")</f>
        <v>Dec</v>
      </c>
      <c r="M53" t="str">
        <f>TEXT(D53,"ddd")</f>
        <v>Thu</v>
      </c>
      <c r="N53">
        <f>DATEDIF(D53, E53, "d")</f>
        <v>8</v>
      </c>
      <c r="O53">
        <f>ROUND(Table1[[#This Row],[Unit Price]]*Table1[[#This Row],[Quantity]]*VLOOKUP(C53,Table2[#All],2,FALSE),0)</f>
        <v>964</v>
      </c>
      <c r="P53">
        <f>ROUND(F53*G53,0)</f>
        <v>1752</v>
      </c>
      <c r="Q53">
        <f>ROUND((G53*F53)-O53,0)</f>
        <v>788</v>
      </c>
    </row>
    <row r="54" spans="1:17">
      <c r="A54" t="s">
        <v>214</v>
      </c>
      <c r="B54" t="s">
        <v>20</v>
      </c>
      <c r="C54" t="s">
        <v>39</v>
      </c>
      <c r="D54" s="1">
        <v>45523</v>
      </c>
      <c r="E54" s="1">
        <v>45536</v>
      </c>
      <c r="F54">
        <v>3</v>
      </c>
      <c r="G54">
        <v>930</v>
      </c>
      <c r="H54" t="s">
        <v>13</v>
      </c>
      <c r="I54" t="s">
        <v>32</v>
      </c>
      <c r="J54" t="s">
        <v>28</v>
      </c>
      <c r="K54">
        <f>YEAR(D54)</f>
        <v>2024</v>
      </c>
      <c r="L54" t="str">
        <f>TEXT(D54,"mmm")</f>
        <v>Aug</v>
      </c>
      <c r="M54" t="str">
        <f>TEXT(D54,"ddd")</f>
        <v>Mon</v>
      </c>
      <c r="N54">
        <f>DATEDIF(D54, E54, "d")</f>
        <v>13</v>
      </c>
      <c r="O54">
        <f>ROUND(Table1[[#This Row],[Unit Price]]*Table1[[#This Row],[Quantity]]*VLOOKUP(C54,Table2[#All],2,FALSE),0)</f>
        <v>1814</v>
      </c>
      <c r="P54">
        <f>ROUND(F54*G54,0)</f>
        <v>2790</v>
      </c>
      <c r="Q54">
        <f>ROUND((G54*F54)-O54,0)</f>
        <v>976</v>
      </c>
    </row>
    <row r="55" spans="1:17">
      <c r="A55" t="s">
        <v>504</v>
      </c>
      <c r="B55" t="s">
        <v>11</v>
      </c>
      <c r="C55" t="s">
        <v>12</v>
      </c>
      <c r="D55" s="1">
        <v>45842</v>
      </c>
      <c r="E55" s="1">
        <v>45844</v>
      </c>
      <c r="F55">
        <v>10</v>
      </c>
      <c r="G55">
        <v>674</v>
      </c>
      <c r="H55" t="s">
        <v>27</v>
      </c>
      <c r="I55" t="s">
        <v>548</v>
      </c>
      <c r="J55" t="s">
        <v>18</v>
      </c>
      <c r="K55">
        <f>YEAR(D55)</f>
        <v>2025</v>
      </c>
      <c r="L55" t="str">
        <f>TEXT(D55,"mmm")</f>
        <v>Jul</v>
      </c>
      <c r="M55" t="str">
        <f>TEXT(D55,"ddd")</f>
        <v>Fri</v>
      </c>
      <c r="N55">
        <f>DATEDIF(D55, E55, "d")</f>
        <v>2</v>
      </c>
      <c r="O55">
        <f>ROUND(Table1[[#This Row],[Unit Price]]*Table1[[#This Row],[Quantity]]*VLOOKUP(C55,Table2[#All],2,FALSE),0)</f>
        <v>5055</v>
      </c>
      <c r="P55">
        <f>ROUND(F55*G55,0)</f>
        <v>6740</v>
      </c>
      <c r="Q55">
        <f>ROUND((G55*F55)-O55,0)</f>
        <v>1685</v>
      </c>
    </row>
    <row r="56" spans="1:17">
      <c r="A56" t="s">
        <v>493</v>
      </c>
      <c r="B56" t="s">
        <v>30</v>
      </c>
      <c r="C56" t="s">
        <v>41</v>
      </c>
      <c r="D56" s="1">
        <v>45768</v>
      </c>
      <c r="E56" s="1">
        <v>45772</v>
      </c>
      <c r="F56">
        <v>9</v>
      </c>
      <c r="G56">
        <v>67</v>
      </c>
      <c r="H56" t="s">
        <v>13</v>
      </c>
      <c r="I56" t="s">
        <v>550</v>
      </c>
      <c r="J56" t="s">
        <v>14</v>
      </c>
      <c r="K56">
        <f>YEAR(D56)</f>
        <v>2025</v>
      </c>
      <c r="L56" t="str">
        <f>TEXT(D56,"mmm")</f>
        <v>Apr</v>
      </c>
      <c r="M56" t="str">
        <f>TEXT(D56,"ddd")</f>
        <v>Mon</v>
      </c>
      <c r="N56">
        <f>DATEDIF(D56, E56, "d")</f>
        <v>4</v>
      </c>
      <c r="O56">
        <f>ROUND(Table1[[#This Row],[Unit Price]]*Table1[[#This Row],[Quantity]]*VLOOKUP(C56,Table2[#All],2,FALSE),0)</f>
        <v>392</v>
      </c>
      <c r="P56">
        <f>ROUND(F56*G56,0)</f>
        <v>603</v>
      </c>
      <c r="Q56">
        <f>ROUND((G56*F56)-O56,0)</f>
        <v>211</v>
      </c>
    </row>
    <row r="57" spans="1:17">
      <c r="A57" t="s">
        <v>170</v>
      </c>
      <c r="B57" t="s">
        <v>11</v>
      </c>
      <c r="C57" t="s">
        <v>95</v>
      </c>
      <c r="D57" s="1">
        <v>45599</v>
      </c>
      <c r="E57" s="1">
        <v>45620</v>
      </c>
      <c r="F57">
        <v>5</v>
      </c>
      <c r="G57">
        <v>370</v>
      </c>
      <c r="H57" t="s">
        <v>27</v>
      </c>
      <c r="I57" t="s">
        <v>550</v>
      </c>
      <c r="J57" t="s">
        <v>14</v>
      </c>
      <c r="K57">
        <f>YEAR(D57)</f>
        <v>2024</v>
      </c>
      <c r="L57" t="str">
        <f>TEXT(D57,"mmm")</f>
        <v>Nov</v>
      </c>
      <c r="M57" t="str">
        <f>TEXT(D57,"ddd")</f>
        <v>Sun</v>
      </c>
      <c r="N57">
        <f>DATEDIF(D57, E57, "d")</f>
        <v>21</v>
      </c>
      <c r="O57">
        <f>ROUND(Table1[[#This Row],[Unit Price]]*Table1[[#This Row],[Quantity]]*VLOOKUP(C57,Table2[#All],2,FALSE),0)</f>
        <v>1295</v>
      </c>
      <c r="P57">
        <f>ROUND(F57*G57,0)</f>
        <v>1850</v>
      </c>
      <c r="Q57">
        <f>ROUND((G57*F57)-O57,0)</f>
        <v>555</v>
      </c>
    </row>
    <row r="58" spans="1:17">
      <c r="A58" t="s">
        <v>213</v>
      </c>
      <c r="B58" t="s">
        <v>23</v>
      </c>
      <c r="C58" t="s">
        <v>99</v>
      </c>
      <c r="D58" s="1">
        <v>45605</v>
      </c>
      <c r="E58" s="1">
        <v>45612</v>
      </c>
      <c r="F58">
        <v>5</v>
      </c>
      <c r="G58">
        <v>720</v>
      </c>
      <c r="H58" t="s">
        <v>13</v>
      </c>
      <c r="I58" t="s">
        <v>549</v>
      </c>
      <c r="J58" t="s">
        <v>18</v>
      </c>
      <c r="K58">
        <f>YEAR(D58)</f>
        <v>2024</v>
      </c>
      <c r="L58" t="str">
        <f>TEXT(D58,"mmm")</f>
        <v>Nov</v>
      </c>
      <c r="M58" t="str">
        <f>TEXT(D58,"ddd")</f>
        <v>Sat</v>
      </c>
      <c r="N58">
        <f>DATEDIF(D58, E58, "d")</f>
        <v>7</v>
      </c>
      <c r="O58">
        <f>ROUND(Table1[[#This Row],[Unit Price]]*Table1[[#This Row],[Quantity]]*VLOOKUP(C58,Table2[#All],2,FALSE),0)</f>
        <v>2160</v>
      </c>
      <c r="P58">
        <f>ROUND(F58*G58,0)</f>
        <v>3600</v>
      </c>
      <c r="Q58">
        <f>ROUND((G58*F58)-O58,0)</f>
        <v>1440</v>
      </c>
    </row>
    <row r="59" spans="1:17">
      <c r="A59" t="s">
        <v>462</v>
      </c>
      <c r="B59" t="s">
        <v>23</v>
      </c>
      <c r="C59" t="s">
        <v>37</v>
      </c>
      <c r="D59" s="1">
        <v>45897</v>
      </c>
      <c r="E59" s="1">
        <v>45904</v>
      </c>
      <c r="F59">
        <v>9</v>
      </c>
      <c r="G59">
        <v>687</v>
      </c>
      <c r="H59" t="s">
        <v>27</v>
      </c>
      <c r="I59" t="s">
        <v>546</v>
      </c>
      <c r="J59" t="s">
        <v>28</v>
      </c>
      <c r="K59">
        <f>YEAR(D59)</f>
        <v>2025</v>
      </c>
      <c r="L59" t="str">
        <f>TEXT(D59,"mmm")</f>
        <v>Aug</v>
      </c>
      <c r="M59" t="str">
        <f>TEXT(D59,"ddd")</f>
        <v>Thu</v>
      </c>
      <c r="N59">
        <f>DATEDIF(D59, E59, "d")</f>
        <v>7</v>
      </c>
      <c r="O59">
        <f>ROUND(Table1[[#This Row],[Unit Price]]*Table1[[#This Row],[Quantity]]*VLOOKUP(C59,Table2[#All],2,FALSE),0)</f>
        <v>3092</v>
      </c>
      <c r="P59">
        <f>ROUND(F59*G59,0)</f>
        <v>6183</v>
      </c>
      <c r="Q59">
        <f>ROUND((G59*F59)-O59,0)</f>
        <v>3091</v>
      </c>
    </row>
    <row r="60" spans="1:17">
      <c r="A60" t="s">
        <v>44</v>
      </c>
      <c r="B60" t="s">
        <v>11</v>
      </c>
      <c r="C60" t="s">
        <v>12</v>
      </c>
      <c r="D60" s="1">
        <v>45370</v>
      </c>
      <c r="E60" s="1">
        <v>45380</v>
      </c>
      <c r="F60">
        <v>3</v>
      </c>
      <c r="G60">
        <v>821</v>
      </c>
      <c r="H60" t="s">
        <v>27</v>
      </c>
      <c r="I60" t="s">
        <v>32</v>
      </c>
      <c r="J60" t="s">
        <v>45</v>
      </c>
      <c r="K60">
        <f>YEAR(D60)</f>
        <v>2024</v>
      </c>
      <c r="L60" t="str">
        <f>TEXT(D60,"mmm")</f>
        <v>Mar</v>
      </c>
      <c r="M60" t="str">
        <f>TEXT(D60,"ddd")</f>
        <v>Tue</v>
      </c>
      <c r="N60">
        <f>DATEDIF(D60, E60, "d")</f>
        <v>10</v>
      </c>
      <c r="O60">
        <f>ROUND(Table1[[#This Row],[Unit Price]]*Table1[[#This Row],[Quantity]]*VLOOKUP(C60,Table2[#All],2,FALSE),0)</f>
        <v>1847</v>
      </c>
      <c r="P60">
        <f>ROUND(F60*G60,0)</f>
        <v>2463</v>
      </c>
      <c r="Q60">
        <f>ROUND((G60*F60)-O60,0)</f>
        <v>616</v>
      </c>
    </row>
    <row r="61" spans="1:17">
      <c r="A61" t="s">
        <v>44</v>
      </c>
      <c r="B61" t="s">
        <v>16</v>
      </c>
      <c r="C61" t="s">
        <v>63</v>
      </c>
      <c r="D61" s="1">
        <v>46006</v>
      </c>
      <c r="E61" s="1">
        <v>46007</v>
      </c>
      <c r="F61">
        <v>7</v>
      </c>
      <c r="G61">
        <v>595</v>
      </c>
      <c r="H61" t="s">
        <v>13</v>
      </c>
      <c r="I61" t="s">
        <v>550</v>
      </c>
      <c r="J61" t="s">
        <v>18</v>
      </c>
      <c r="K61">
        <f>YEAR(D61)</f>
        <v>2025</v>
      </c>
      <c r="L61" t="str">
        <f>TEXT(D61,"mmm")</f>
        <v>Dec</v>
      </c>
      <c r="M61" t="str">
        <f>TEXT(D61,"ddd")</f>
        <v>Mon</v>
      </c>
      <c r="N61">
        <f>DATEDIF(D61, E61, "d")</f>
        <v>1</v>
      </c>
      <c r="O61">
        <f>ROUND(Table1[[#This Row],[Unit Price]]*Table1[[#This Row],[Quantity]]*VLOOKUP(C61,Table2[#All],2,FALSE),0)</f>
        <v>2083</v>
      </c>
      <c r="P61">
        <f>ROUND(F61*G61,0)</f>
        <v>4165</v>
      </c>
      <c r="Q61">
        <f>ROUND((G61*F61)-O61,0)</f>
        <v>2082</v>
      </c>
    </row>
    <row r="62" spans="1:17">
      <c r="A62" t="s">
        <v>431</v>
      </c>
      <c r="B62" t="s">
        <v>11</v>
      </c>
      <c r="C62" t="s">
        <v>12</v>
      </c>
      <c r="D62" s="1">
        <v>45949</v>
      </c>
      <c r="E62" s="1">
        <v>45953</v>
      </c>
      <c r="F62">
        <v>3</v>
      </c>
      <c r="G62">
        <v>982</v>
      </c>
      <c r="H62" t="s">
        <v>27</v>
      </c>
      <c r="I62" t="s">
        <v>550</v>
      </c>
      <c r="J62" t="s">
        <v>45</v>
      </c>
      <c r="K62">
        <f>YEAR(D62)</f>
        <v>2025</v>
      </c>
      <c r="L62" t="str">
        <f>TEXT(D62,"mmm")</f>
        <v>Oct</v>
      </c>
      <c r="M62" t="str">
        <f>TEXT(D62,"ddd")</f>
        <v>Sun</v>
      </c>
      <c r="N62">
        <f>DATEDIF(D62, E62, "d")</f>
        <v>4</v>
      </c>
      <c r="O62">
        <f>ROUND(Table1[[#This Row],[Unit Price]]*Table1[[#This Row],[Quantity]]*VLOOKUP(C62,Table2[#All],2,FALSE),0)</f>
        <v>2210</v>
      </c>
      <c r="P62">
        <f>ROUND(F62*G62,0)</f>
        <v>2946</v>
      </c>
      <c r="Q62">
        <f>ROUND((G62*F62)-O62,0)</f>
        <v>736</v>
      </c>
    </row>
    <row r="63" spans="1:17">
      <c r="A63" t="s">
        <v>276</v>
      </c>
      <c r="B63" t="s">
        <v>16</v>
      </c>
      <c r="C63" t="s">
        <v>43</v>
      </c>
      <c r="D63" s="1">
        <v>45629</v>
      </c>
      <c r="E63" s="1">
        <v>45638</v>
      </c>
      <c r="F63">
        <v>8</v>
      </c>
      <c r="G63">
        <v>26</v>
      </c>
      <c r="H63" t="s">
        <v>27</v>
      </c>
      <c r="I63" t="s">
        <v>550</v>
      </c>
      <c r="J63" t="s">
        <v>28</v>
      </c>
      <c r="K63">
        <f>YEAR(D63)</f>
        <v>2024</v>
      </c>
      <c r="L63" t="str">
        <f>TEXT(D63,"mmm")</f>
        <v>Dec</v>
      </c>
      <c r="M63" t="str">
        <f>TEXT(D63,"ddd")</f>
        <v>Tue</v>
      </c>
      <c r="N63">
        <f>DATEDIF(D63, E63, "d")</f>
        <v>9</v>
      </c>
      <c r="O63">
        <f>ROUND(Table1[[#This Row],[Unit Price]]*Table1[[#This Row],[Quantity]]*VLOOKUP(C63,Table2[#All],2,FALSE),0)</f>
        <v>125</v>
      </c>
      <c r="P63">
        <f>ROUND(F63*G63,0)</f>
        <v>208</v>
      </c>
      <c r="Q63">
        <f>ROUND((G63*F63)-O63,0)</f>
        <v>83</v>
      </c>
    </row>
    <row r="64" spans="1:17">
      <c r="A64" t="s">
        <v>616</v>
      </c>
      <c r="B64" t="s">
        <v>11</v>
      </c>
      <c r="C64" t="s">
        <v>26</v>
      </c>
      <c r="D64" s="1">
        <v>45397</v>
      </c>
      <c r="E64" s="1">
        <v>45402</v>
      </c>
      <c r="F64">
        <v>1</v>
      </c>
      <c r="G64">
        <v>75</v>
      </c>
      <c r="H64" t="s">
        <v>13</v>
      </c>
      <c r="I64" t="s">
        <v>550</v>
      </c>
      <c r="J64" t="s">
        <v>45</v>
      </c>
      <c r="K64">
        <f>YEAR(D64)</f>
        <v>2024</v>
      </c>
      <c r="L64" t="str">
        <f>TEXT(D64,"mmm")</f>
        <v>Apr</v>
      </c>
      <c r="M64" t="str">
        <f>TEXT(D64,"ddd")</f>
        <v>Mon</v>
      </c>
      <c r="N64">
        <f>DATEDIF(D64, E64, "d")</f>
        <v>5</v>
      </c>
      <c r="O64">
        <f>ROUND(Table1[[#This Row],[Unit Price]]*Table1[[#This Row],[Quantity]]*VLOOKUP(C64,Table2[#All],2,FALSE),0)</f>
        <v>49</v>
      </c>
      <c r="P64">
        <f>ROUND(F64*G64,0)</f>
        <v>75</v>
      </c>
      <c r="Q64">
        <f>ROUND((G64*F64)-O64,0)</f>
        <v>26</v>
      </c>
    </row>
    <row r="65" spans="1:17">
      <c r="A65" t="s">
        <v>71</v>
      </c>
      <c r="B65" t="s">
        <v>16</v>
      </c>
      <c r="C65" t="s">
        <v>43</v>
      </c>
      <c r="D65" s="1">
        <v>45549</v>
      </c>
      <c r="E65" s="1">
        <v>45554</v>
      </c>
      <c r="F65">
        <v>9</v>
      </c>
      <c r="G65">
        <v>171</v>
      </c>
      <c r="H65" t="s">
        <v>13</v>
      </c>
      <c r="I65" t="s">
        <v>550</v>
      </c>
      <c r="J65" t="s">
        <v>28</v>
      </c>
      <c r="K65">
        <f>YEAR(D65)</f>
        <v>2024</v>
      </c>
      <c r="L65" t="str">
        <f>TEXT(D65,"mmm")</f>
        <v>Sep</v>
      </c>
      <c r="M65" t="str">
        <f>TEXT(D65,"ddd")</f>
        <v>Sat</v>
      </c>
      <c r="N65">
        <f>DATEDIF(D65, E65, "d")</f>
        <v>5</v>
      </c>
      <c r="O65">
        <f>ROUND(Table1[[#This Row],[Unit Price]]*Table1[[#This Row],[Quantity]]*VLOOKUP(C65,Table2[#All],2,FALSE),0)</f>
        <v>923</v>
      </c>
      <c r="P65">
        <f>ROUND(F65*G65,0)</f>
        <v>1539</v>
      </c>
      <c r="Q65">
        <f>ROUND((G65*F65)-O65,0)</f>
        <v>616</v>
      </c>
    </row>
    <row r="66" spans="1:17">
      <c r="A66" t="s">
        <v>71</v>
      </c>
      <c r="B66" t="s">
        <v>20</v>
      </c>
      <c r="C66" t="s">
        <v>82</v>
      </c>
      <c r="D66" s="1">
        <v>45691</v>
      </c>
      <c r="E66" s="1">
        <v>45699</v>
      </c>
      <c r="F66">
        <v>3</v>
      </c>
      <c r="G66">
        <v>703</v>
      </c>
      <c r="H66" t="s">
        <v>13</v>
      </c>
      <c r="I66" t="s">
        <v>546</v>
      </c>
      <c r="J66" t="s">
        <v>28</v>
      </c>
      <c r="K66">
        <f>YEAR(D66)</f>
        <v>2025</v>
      </c>
      <c r="L66" t="str">
        <f>TEXT(D66,"mmm")</f>
        <v>Feb</v>
      </c>
      <c r="M66" t="str">
        <f>TEXT(D66,"ddd")</f>
        <v>Mon</v>
      </c>
      <c r="N66">
        <f>DATEDIF(D66, E66, "d")</f>
        <v>8</v>
      </c>
      <c r="O66">
        <f>ROUND(Table1[[#This Row],[Unit Price]]*Table1[[#This Row],[Quantity]]*VLOOKUP(C66,Table2[#All],2,FALSE),0)</f>
        <v>1687</v>
      </c>
      <c r="P66">
        <f>ROUND(F66*G66,0)</f>
        <v>2109</v>
      </c>
      <c r="Q66">
        <f>ROUND((G66*F66)-O66,0)</f>
        <v>422</v>
      </c>
    </row>
    <row r="67" spans="1:17">
      <c r="A67" t="s">
        <v>154</v>
      </c>
      <c r="B67" t="s">
        <v>30</v>
      </c>
      <c r="C67" t="s">
        <v>31</v>
      </c>
      <c r="D67" s="1">
        <v>45405</v>
      </c>
      <c r="E67" s="1">
        <v>45410</v>
      </c>
      <c r="F67">
        <v>2</v>
      </c>
      <c r="G67">
        <v>660</v>
      </c>
      <c r="H67" t="s">
        <v>27</v>
      </c>
      <c r="I67" t="s">
        <v>548</v>
      </c>
      <c r="J67" t="s">
        <v>45</v>
      </c>
      <c r="K67">
        <f>YEAR(D67)</f>
        <v>2024</v>
      </c>
      <c r="L67" t="str">
        <f>TEXT(D67,"mmm")</f>
        <v>Apr</v>
      </c>
      <c r="M67" t="str">
        <f>TEXT(D67,"ddd")</f>
        <v>Tue</v>
      </c>
      <c r="N67">
        <f>DATEDIF(D67, E67, "d")</f>
        <v>5</v>
      </c>
      <c r="O67">
        <f>ROUND(Table1[[#This Row],[Unit Price]]*Table1[[#This Row],[Quantity]]*VLOOKUP(C67,Table2[#All],2,FALSE),0)</f>
        <v>990</v>
      </c>
      <c r="P67">
        <f>ROUND(F67*G67,0)</f>
        <v>1320</v>
      </c>
      <c r="Q67">
        <f>ROUND((G67*F67)-O67,0)</f>
        <v>330</v>
      </c>
    </row>
    <row r="68" spans="1:17">
      <c r="A68" t="s">
        <v>254</v>
      </c>
      <c r="B68" t="s">
        <v>16</v>
      </c>
      <c r="C68" t="s">
        <v>17</v>
      </c>
      <c r="D68" s="1">
        <v>45578</v>
      </c>
      <c r="E68" s="1">
        <v>45590</v>
      </c>
      <c r="F68">
        <v>8</v>
      </c>
      <c r="G68">
        <v>698</v>
      </c>
      <c r="H68" t="s">
        <v>27</v>
      </c>
      <c r="I68" t="s">
        <v>548</v>
      </c>
      <c r="J68" t="s">
        <v>45</v>
      </c>
      <c r="K68">
        <f>YEAR(D68)</f>
        <v>2024</v>
      </c>
      <c r="L68" t="str">
        <f>TEXT(D68,"mmm")</f>
        <v>Oct</v>
      </c>
      <c r="M68" t="str">
        <f>TEXT(D68,"ddd")</f>
        <v>Sun</v>
      </c>
      <c r="N68">
        <f>DATEDIF(D68, E68, "d")</f>
        <v>12</v>
      </c>
      <c r="O68">
        <f>ROUND(Table1[[#This Row],[Unit Price]]*Table1[[#This Row],[Quantity]]*VLOOKUP(C68,Table2[#All],2,FALSE),0)</f>
        <v>2792</v>
      </c>
      <c r="P68">
        <f>ROUND(F68*G68,0)</f>
        <v>5584</v>
      </c>
      <c r="Q68">
        <f>ROUND((G68*F68)-O68,0)</f>
        <v>2792</v>
      </c>
    </row>
    <row r="69" spans="1:17">
      <c r="A69" t="s">
        <v>155</v>
      </c>
      <c r="B69" t="s">
        <v>23</v>
      </c>
      <c r="C69" t="s">
        <v>99</v>
      </c>
      <c r="D69" s="1">
        <v>45477</v>
      </c>
      <c r="E69" s="1">
        <v>45484</v>
      </c>
      <c r="F69">
        <v>2</v>
      </c>
      <c r="G69">
        <v>712</v>
      </c>
      <c r="H69" t="s">
        <v>27</v>
      </c>
      <c r="I69" t="s">
        <v>546</v>
      </c>
      <c r="J69" t="s">
        <v>14</v>
      </c>
      <c r="K69">
        <f>YEAR(D69)</f>
        <v>2024</v>
      </c>
      <c r="L69" t="str">
        <f>TEXT(D69,"mmm")</f>
        <v>Jul</v>
      </c>
      <c r="M69" t="str">
        <f>TEXT(D69,"ddd")</f>
        <v>Thu</v>
      </c>
      <c r="N69">
        <f>DATEDIF(D69, E69, "d")</f>
        <v>7</v>
      </c>
      <c r="O69">
        <f>ROUND(Table1[[#This Row],[Unit Price]]*Table1[[#This Row],[Quantity]]*VLOOKUP(C69,Table2[#All],2,FALSE),0)</f>
        <v>854</v>
      </c>
      <c r="P69">
        <f>ROUND(F69*G69,0)</f>
        <v>1424</v>
      </c>
      <c r="Q69">
        <f>ROUND((G69*F69)-O69,0)</f>
        <v>570</v>
      </c>
    </row>
    <row r="70" spans="1:17">
      <c r="A70" t="s">
        <v>343</v>
      </c>
      <c r="B70" t="s">
        <v>23</v>
      </c>
      <c r="C70" t="s">
        <v>114</v>
      </c>
      <c r="D70" s="1">
        <v>45595</v>
      </c>
      <c r="E70" s="1">
        <v>45605</v>
      </c>
      <c r="F70">
        <v>10</v>
      </c>
      <c r="G70">
        <v>73</v>
      </c>
      <c r="H70" t="s">
        <v>13</v>
      </c>
      <c r="I70" t="s">
        <v>549</v>
      </c>
      <c r="J70" t="s">
        <v>18</v>
      </c>
      <c r="K70">
        <f>YEAR(D70)</f>
        <v>2024</v>
      </c>
      <c r="L70" t="str">
        <f>TEXT(D70,"mmm")</f>
        <v>Oct</v>
      </c>
      <c r="M70" t="str">
        <f>TEXT(D70,"ddd")</f>
        <v>Wed</v>
      </c>
      <c r="N70">
        <f>DATEDIF(D70, E70, "d")</f>
        <v>10</v>
      </c>
      <c r="O70">
        <f>ROUND(Table1[[#This Row],[Unit Price]]*Table1[[#This Row],[Quantity]]*VLOOKUP(C70,Table2[#All],2,FALSE),0)</f>
        <v>438</v>
      </c>
      <c r="P70">
        <f>ROUND(F70*G70,0)</f>
        <v>730</v>
      </c>
      <c r="Q70">
        <f>ROUND((G70*F70)-O70,0)</f>
        <v>292</v>
      </c>
    </row>
    <row r="71" spans="1:17">
      <c r="A71" t="s">
        <v>461</v>
      </c>
      <c r="B71" t="s">
        <v>23</v>
      </c>
      <c r="C71" t="s">
        <v>24</v>
      </c>
      <c r="D71" s="1">
        <v>45665</v>
      </c>
      <c r="E71" s="1">
        <v>45678</v>
      </c>
      <c r="F71">
        <v>1</v>
      </c>
      <c r="G71">
        <v>333</v>
      </c>
      <c r="H71" t="s">
        <v>27</v>
      </c>
      <c r="I71" t="s">
        <v>32</v>
      </c>
      <c r="J71" t="s">
        <v>14</v>
      </c>
      <c r="K71">
        <f>YEAR(D71)</f>
        <v>2025</v>
      </c>
      <c r="L71" t="str">
        <f>TEXT(D71,"mmm")</f>
        <v>Jan</v>
      </c>
      <c r="M71" t="str">
        <f>TEXT(D71,"ddd")</f>
        <v>Wed</v>
      </c>
      <c r="N71">
        <f>DATEDIF(D71, E71, "d")</f>
        <v>13</v>
      </c>
      <c r="O71">
        <f>ROUND(Table1[[#This Row],[Unit Price]]*Table1[[#This Row],[Quantity]]*VLOOKUP(C71,Table2[#All],2,FALSE),0)</f>
        <v>183</v>
      </c>
      <c r="P71">
        <f>ROUND(F71*G71,0)</f>
        <v>333</v>
      </c>
      <c r="Q71">
        <f>ROUND((G71*F71)-O71,0)</f>
        <v>150</v>
      </c>
    </row>
    <row r="72" spans="1:17">
      <c r="A72" t="s">
        <v>294</v>
      </c>
      <c r="B72" t="s">
        <v>16</v>
      </c>
      <c r="C72" t="s">
        <v>59</v>
      </c>
      <c r="D72" s="1">
        <v>45646</v>
      </c>
      <c r="E72" s="1">
        <v>45654</v>
      </c>
      <c r="F72">
        <v>7</v>
      </c>
      <c r="G72">
        <v>566</v>
      </c>
      <c r="H72" t="s">
        <v>27</v>
      </c>
      <c r="I72" t="s">
        <v>547</v>
      </c>
      <c r="J72" t="s">
        <v>14</v>
      </c>
      <c r="K72">
        <f>YEAR(D72)</f>
        <v>2024</v>
      </c>
      <c r="L72" t="str">
        <f>TEXT(D72,"mmm")</f>
        <v>Dec</v>
      </c>
      <c r="M72" t="str">
        <f>TEXT(D72,"ddd")</f>
        <v>Fri</v>
      </c>
      <c r="N72">
        <f>DATEDIF(D72, E72, "d")</f>
        <v>8</v>
      </c>
      <c r="O72">
        <f>ROUND(Table1[[#This Row],[Unit Price]]*Table1[[#This Row],[Quantity]]*VLOOKUP(C72,Table2[#All],2,FALSE),0)</f>
        <v>2575</v>
      </c>
      <c r="P72">
        <f>ROUND(F72*G72,0)</f>
        <v>3962</v>
      </c>
      <c r="Q72">
        <f>ROUND((G72*F72)-O72,0)</f>
        <v>1387</v>
      </c>
    </row>
    <row r="73" spans="1:17">
      <c r="A73" t="s">
        <v>216</v>
      </c>
      <c r="B73" t="s">
        <v>16</v>
      </c>
      <c r="C73" t="s">
        <v>63</v>
      </c>
      <c r="D73" s="1">
        <v>45605</v>
      </c>
      <c r="E73" s="1">
        <v>45618</v>
      </c>
      <c r="F73">
        <v>2</v>
      </c>
      <c r="G73">
        <v>77</v>
      </c>
      <c r="H73" t="s">
        <v>27</v>
      </c>
      <c r="I73" t="s">
        <v>546</v>
      </c>
      <c r="J73" t="s">
        <v>18</v>
      </c>
      <c r="K73">
        <f>YEAR(D73)</f>
        <v>2024</v>
      </c>
      <c r="L73" t="str">
        <f>TEXT(D73,"mmm")</f>
        <v>Nov</v>
      </c>
      <c r="M73" t="str">
        <f>TEXT(D73,"ddd")</f>
        <v>Sat</v>
      </c>
      <c r="N73">
        <f>DATEDIF(D73, E73, "d")</f>
        <v>13</v>
      </c>
      <c r="O73">
        <f>ROUND(Table1[[#This Row],[Unit Price]]*Table1[[#This Row],[Quantity]]*VLOOKUP(C73,Table2[#All],2,FALSE),0)</f>
        <v>77</v>
      </c>
      <c r="P73">
        <f>ROUND(F73*G73,0)</f>
        <v>154</v>
      </c>
      <c r="Q73">
        <f>ROUND((G73*F73)-O73,0)</f>
        <v>77</v>
      </c>
    </row>
    <row r="74" spans="1:17">
      <c r="A74" t="s">
        <v>457</v>
      </c>
      <c r="B74" t="s">
        <v>30</v>
      </c>
      <c r="C74" t="s">
        <v>31</v>
      </c>
      <c r="D74" s="1">
        <v>45675</v>
      </c>
      <c r="E74" s="1">
        <v>45688</v>
      </c>
      <c r="F74">
        <v>6</v>
      </c>
      <c r="G74">
        <v>541</v>
      </c>
      <c r="H74" t="s">
        <v>27</v>
      </c>
      <c r="I74" t="s">
        <v>550</v>
      </c>
      <c r="J74" t="s">
        <v>14</v>
      </c>
      <c r="K74">
        <f>YEAR(D74)</f>
        <v>2025</v>
      </c>
      <c r="L74" t="str">
        <f>TEXT(D74,"mmm")</f>
        <v>Jan</v>
      </c>
      <c r="M74" t="str">
        <f>TEXT(D74,"ddd")</f>
        <v>Sat</v>
      </c>
      <c r="N74">
        <f>DATEDIF(D74, E74, "d")</f>
        <v>13</v>
      </c>
      <c r="O74">
        <f>ROUND(Table1[[#This Row],[Unit Price]]*Table1[[#This Row],[Quantity]]*VLOOKUP(C74,Table2[#All],2,FALSE),0)</f>
        <v>2435</v>
      </c>
      <c r="P74">
        <f>ROUND(F74*G74,0)</f>
        <v>3246</v>
      </c>
      <c r="Q74">
        <f>ROUND((G74*F74)-O74,0)</f>
        <v>811</v>
      </c>
    </row>
    <row r="75" spans="1:17">
      <c r="A75" t="s">
        <v>534</v>
      </c>
      <c r="B75" t="s">
        <v>23</v>
      </c>
      <c r="C75" t="s">
        <v>24</v>
      </c>
      <c r="D75" s="1">
        <v>45986</v>
      </c>
      <c r="E75" s="1">
        <v>45994</v>
      </c>
      <c r="F75">
        <v>1</v>
      </c>
      <c r="G75">
        <v>321</v>
      </c>
      <c r="H75" t="s">
        <v>13</v>
      </c>
      <c r="I75" t="s">
        <v>548</v>
      </c>
      <c r="J75" t="s">
        <v>14</v>
      </c>
      <c r="K75">
        <f>YEAR(D75)</f>
        <v>2025</v>
      </c>
      <c r="L75" t="str">
        <f>TEXT(D75,"mmm")</f>
        <v>Nov</v>
      </c>
      <c r="M75" t="str">
        <f>TEXT(D75,"ddd")</f>
        <v>Tue</v>
      </c>
      <c r="N75">
        <f>DATEDIF(D75, E75, "d")</f>
        <v>8</v>
      </c>
      <c r="O75">
        <f>ROUND(Table1[[#This Row],[Unit Price]]*Table1[[#This Row],[Quantity]]*VLOOKUP(C75,Table2[#All],2,FALSE),0)</f>
        <v>177</v>
      </c>
      <c r="P75">
        <f>ROUND(F75*G75,0)</f>
        <v>321</v>
      </c>
      <c r="Q75">
        <f>ROUND((G75*F75)-O75,0)</f>
        <v>144</v>
      </c>
    </row>
    <row r="76" spans="1:17">
      <c r="A76" t="s">
        <v>305</v>
      </c>
      <c r="B76" t="s">
        <v>23</v>
      </c>
      <c r="C76" t="s">
        <v>69</v>
      </c>
      <c r="D76" s="1">
        <v>45319</v>
      </c>
      <c r="E76" s="1">
        <v>45329</v>
      </c>
      <c r="F76">
        <v>6</v>
      </c>
      <c r="G76">
        <v>984</v>
      </c>
      <c r="H76" t="s">
        <v>13</v>
      </c>
      <c r="I76" t="s">
        <v>547</v>
      </c>
      <c r="J76" t="s">
        <v>45</v>
      </c>
      <c r="K76">
        <f>YEAR(D76)</f>
        <v>2024</v>
      </c>
      <c r="L76" t="str">
        <f>TEXT(D76,"mmm")</f>
        <v>Jan</v>
      </c>
      <c r="M76" t="str">
        <f>TEXT(D76,"ddd")</f>
        <v>Sun</v>
      </c>
      <c r="N76">
        <f>DATEDIF(D76, E76, "d")</f>
        <v>10</v>
      </c>
      <c r="O76">
        <f>ROUND(Table1[[#This Row],[Unit Price]]*Table1[[#This Row],[Quantity]]*VLOOKUP(C76,Table2[#All],2,FALSE),0)</f>
        <v>3247</v>
      </c>
      <c r="P76">
        <f>ROUND(F76*G76,0)</f>
        <v>5904</v>
      </c>
      <c r="Q76">
        <f>ROUND((G76*F76)-O76,0)</f>
        <v>2657</v>
      </c>
    </row>
    <row r="77" spans="1:17">
      <c r="A77" t="s">
        <v>166</v>
      </c>
      <c r="B77" t="s">
        <v>23</v>
      </c>
      <c r="C77" t="s">
        <v>37</v>
      </c>
      <c r="D77" s="1">
        <v>45504</v>
      </c>
      <c r="E77" s="1">
        <v>45509</v>
      </c>
      <c r="F77">
        <v>2</v>
      </c>
      <c r="G77">
        <v>330</v>
      </c>
      <c r="H77" t="s">
        <v>27</v>
      </c>
      <c r="I77" t="s">
        <v>549</v>
      </c>
      <c r="J77" t="s">
        <v>45</v>
      </c>
      <c r="K77">
        <f>YEAR(D77)</f>
        <v>2024</v>
      </c>
      <c r="L77" t="str">
        <f>TEXT(D77,"mmm")</f>
        <v>Jul</v>
      </c>
      <c r="M77" t="str">
        <f>TEXT(D77,"ddd")</f>
        <v>Wed</v>
      </c>
      <c r="N77">
        <f>DATEDIF(D77, E77, "d")</f>
        <v>5</v>
      </c>
      <c r="O77">
        <f>ROUND(Table1[[#This Row],[Unit Price]]*Table1[[#This Row],[Quantity]]*VLOOKUP(C77,Table2[#All],2,FALSE),0)</f>
        <v>330</v>
      </c>
      <c r="P77">
        <f>ROUND(F77*G77,0)</f>
        <v>660</v>
      </c>
      <c r="Q77">
        <f>ROUND((G77*F77)-O77,0)</f>
        <v>330</v>
      </c>
    </row>
    <row r="78" spans="1:17">
      <c r="A78" t="s">
        <v>19</v>
      </c>
      <c r="B78" t="s">
        <v>20</v>
      </c>
      <c r="C78" t="s">
        <v>21</v>
      </c>
      <c r="D78" s="1">
        <v>45593</v>
      </c>
      <c r="E78" s="1">
        <v>45603</v>
      </c>
      <c r="F78">
        <v>5</v>
      </c>
      <c r="G78">
        <v>838</v>
      </c>
      <c r="H78" t="s">
        <v>13</v>
      </c>
      <c r="I78" t="s">
        <v>548</v>
      </c>
      <c r="J78" t="s">
        <v>18</v>
      </c>
      <c r="K78">
        <f>YEAR(D78)</f>
        <v>2024</v>
      </c>
      <c r="L78" t="str">
        <f>TEXT(D78,"mmm")</f>
        <v>Oct</v>
      </c>
      <c r="M78" t="str">
        <f>TEXT(D78,"ddd")</f>
        <v>Mon</v>
      </c>
      <c r="N78">
        <f>DATEDIF(D78, E78, "d")</f>
        <v>10</v>
      </c>
      <c r="O78">
        <f>ROUND(Table1[[#This Row],[Unit Price]]*Table1[[#This Row],[Quantity]]*VLOOKUP(C78,Table2[#All],2,FALSE),0)</f>
        <v>3143</v>
      </c>
      <c r="P78">
        <f>ROUND(F78*G78,0)</f>
        <v>4190</v>
      </c>
      <c r="Q78">
        <f>ROUND((G78*F78)-O78,0)</f>
        <v>1047</v>
      </c>
    </row>
    <row r="79" spans="1:17">
      <c r="A79" t="s">
        <v>165</v>
      </c>
      <c r="B79" t="s">
        <v>23</v>
      </c>
      <c r="C79" t="s">
        <v>69</v>
      </c>
      <c r="D79" s="1">
        <v>45601</v>
      </c>
      <c r="E79" s="1">
        <v>45605</v>
      </c>
      <c r="F79">
        <v>7</v>
      </c>
      <c r="G79">
        <v>111</v>
      </c>
      <c r="H79" t="s">
        <v>27</v>
      </c>
      <c r="I79" t="s">
        <v>548</v>
      </c>
      <c r="J79" t="s">
        <v>45</v>
      </c>
      <c r="K79">
        <f>YEAR(D79)</f>
        <v>2024</v>
      </c>
      <c r="L79" t="str">
        <f>TEXT(D79,"mmm")</f>
        <v>Nov</v>
      </c>
      <c r="M79" t="str">
        <f>TEXT(D79,"ddd")</f>
        <v>Tue</v>
      </c>
      <c r="N79">
        <f>DATEDIF(D79, E79, "d")</f>
        <v>4</v>
      </c>
      <c r="O79">
        <f>ROUND(Table1[[#This Row],[Unit Price]]*Table1[[#This Row],[Quantity]]*VLOOKUP(C79,Table2[#All],2,FALSE),0)</f>
        <v>427</v>
      </c>
      <c r="P79">
        <f>ROUND(F79*G79,0)</f>
        <v>777</v>
      </c>
      <c r="Q79">
        <f>ROUND((G79*F79)-O79,0)</f>
        <v>350</v>
      </c>
    </row>
    <row r="80" spans="1:17">
      <c r="A80" t="s">
        <v>264</v>
      </c>
      <c r="B80" t="s">
        <v>30</v>
      </c>
      <c r="C80" t="s">
        <v>49</v>
      </c>
      <c r="D80" s="1">
        <v>45501</v>
      </c>
      <c r="E80" s="1">
        <v>45513</v>
      </c>
      <c r="F80">
        <v>3</v>
      </c>
      <c r="G80">
        <v>317</v>
      </c>
      <c r="H80" t="s">
        <v>27</v>
      </c>
      <c r="I80" t="s">
        <v>549</v>
      </c>
      <c r="J80" t="s">
        <v>28</v>
      </c>
      <c r="K80">
        <f>YEAR(D80)</f>
        <v>2024</v>
      </c>
      <c r="L80" t="str">
        <f>TEXT(D80,"mmm")</f>
        <v>Jul</v>
      </c>
      <c r="M80" t="str">
        <f>TEXT(D80,"ddd")</f>
        <v>Sun</v>
      </c>
      <c r="N80">
        <f>DATEDIF(D80, E80, "d")</f>
        <v>12</v>
      </c>
      <c r="O80">
        <f>ROUND(Table1[[#This Row],[Unit Price]]*Table1[[#This Row],[Quantity]]*VLOOKUP(C80,Table2[#All],2,FALSE),0)</f>
        <v>666</v>
      </c>
      <c r="P80">
        <f>ROUND(F80*G80,0)</f>
        <v>951</v>
      </c>
      <c r="Q80">
        <f>ROUND((G80*F80)-O80,0)</f>
        <v>285</v>
      </c>
    </row>
    <row r="81" spans="1:17">
      <c r="A81" t="s">
        <v>286</v>
      </c>
      <c r="B81" t="s">
        <v>20</v>
      </c>
      <c r="C81" t="s">
        <v>39</v>
      </c>
      <c r="D81" s="1">
        <v>45334</v>
      </c>
      <c r="E81" s="1">
        <v>45345</v>
      </c>
      <c r="F81">
        <v>5</v>
      </c>
      <c r="G81">
        <v>167</v>
      </c>
      <c r="H81" t="s">
        <v>27</v>
      </c>
      <c r="I81" t="s">
        <v>549</v>
      </c>
      <c r="J81" t="s">
        <v>28</v>
      </c>
      <c r="K81">
        <f>YEAR(D81)</f>
        <v>2024</v>
      </c>
      <c r="L81" t="str">
        <f>TEXT(D81,"mmm")</f>
        <v>Feb</v>
      </c>
      <c r="M81" t="str">
        <f>TEXT(D81,"ddd")</f>
        <v>Mon</v>
      </c>
      <c r="N81">
        <f>DATEDIF(D81, E81, "d")</f>
        <v>11</v>
      </c>
      <c r="O81">
        <f>ROUND(Table1[[#This Row],[Unit Price]]*Table1[[#This Row],[Quantity]]*VLOOKUP(C81,Table2[#All],2,FALSE),0)</f>
        <v>543</v>
      </c>
      <c r="P81">
        <f>ROUND(F81*G81,0)</f>
        <v>835</v>
      </c>
      <c r="Q81">
        <f>ROUND((G81*F81)-O81,0)</f>
        <v>292</v>
      </c>
    </row>
    <row r="82" spans="1:17">
      <c r="A82" t="s">
        <v>522</v>
      </c>
      <c r="B82" t="s">
        <v>30</v>
      </c>
      <c r="C82" t="s">
        <v>41</v>
      </c>
      <c r="D82" s="1">
        <v>45855</v>
      </c>
      <c r="E82" s="1">
        <v>45861</v>
      </c>
      <c r="F82">
        <v>2</v>
      </c>
      <c r="G82">
        <v>420</v>
      </c>
      <c r="H82" t="s">
        <v>13</v>
      </c>
      <c r="I82" t="s">
        <v>548</v>
      </c>
      <c r="J82" t="s">
        <v>45</v>
      </c>
      <c r="K82">
        <f>YEAR(D82)</f>
        <v>2025</v>
      </c>
      <c r="L82" t="str">
        <f>TEXT(D82,"mmm")</f>
        <v>Jul</v>
      </c>
      <c r="M82" t="str">
        <f>TEXT(D82,"ddd")</f>
        <v>Thu</v>
      </c>
      <c r="N82">
        <f>DATEDIF(D82, E82, "d")</f>
        <v>6</v>
      </c>
      <c r="O82">
        <f>ROUND(Table1[[#This Row],[Unit Price]]*Table1[[#This Row],[Quantity]]*VLOOKUP(C82,Table2[#All],2,FALSE),0)</f>
        <v>546</v>
      </c>
      <c r="P82">
        <f>ROUND(F82*G82,0)</f>
        <v>840</v>
      </c>
      <c r="Q82">
        <f>ROUND((G82*F82)-O82,0)</f>
        <v>294</v>
      </c>
    </row>
    <row r="83" spans="1:17">
      <c r="A83" t="s">
        <v>115</v>
      </c>
      <c r="B83" t="s">
        <v>20</v>
      </c>
      <c r="C83" t="s">
        <v>21</v>
      </c>
      <c r="D83" s="1">
        <v>45382</v>
      </c>
      <c r="E83" s="1">
        <v>45395</v>
      </c>
      <c r="F83">
        <v>9</v>
      </c>
      <c r="G83">
        <v>998</v>
      </c>
      <c r="H83" t="s">
        <v>27</v>
      </c>
      <c r="I83" t="s">
        <v>32</v>
      </c>
      <c r="J83" t="s">
        <v>28</v>
      </c>
      <c r="K83">
        <f>YEAR(D83)</f>
        <v>2024</v>
      </c>
      <c r="L83" t="str">
        <f>TEXT(D83,"mmm")</f>
        <v>Mar</v>
      </c>
      <c r="M83" t="str">
        <f>TEXT(D83,"ddd")</f>
        <v>Sun</v>
      </c>
      <c r="N83">
        <f>DATEDIF(D83, E83, "d")</f>
        <v>13</v>
      </c>
      <c r="O83">
        <f>ROUND(Table1[[#This Row],[Unit Price]]*Table1[[#This Row],[Quantity]]*VLOOKUP(C83,Table2[#All],2,FALSE),0)</f>
        <v>6737</v>
      </c>
      <c r="P83">
        <f>ROUND(F83*G83,0)</f>
        <v>8982</v>
      </c>
      <c r="Q83">
        <f>ROUND((G83*F83)-O83,0)</f>
        <v>2245</v>
      </c>
    </row>
    <row r="84" spans="1:17">
      <c r="A84" t="s">
        <v>423</v>
      </c>
      <c r="B84" t="s">
        <v>23</v>
      </c>
      <c r="C84" t="s">
        <v>69</v>
      </c>
      <c r="D84" s="1">
        <v>45848</v>
      </c>
      <c r="E84" s="1">
        <v>45856</v>
      </c>
      <c r="F84">
        <v>8</v>
      </c>
      <c r="G84">
        <v>360</v>
      </c>
      <c r="H84" t="s">
        <v>27</v>
      </c>
      <c r="I84" t="s">
        <v>549</v>
      </c>
      <c r="J84" t="s">
        <v>28</v>
      </c>
      <c r="K84">
        <f>YEAR(D84)</f>
        <v>2025</v>
      </c>
      <c r="L84" t="str">
        <f>TEXT(D84,"mmm")</f>
        <v>Jul</v>
      </c>
      <c r="M84" t="str">
        <f>TEXT(D84,"ddd")</f>
        <v>Thu</v>
      </c>
      <c r="N84">
        <f>DATEDIF(D84, E84, "d")</f>
        <v>8</v>
      </c>
      <c r="O84">
        <f>ROUND(Table1[[#This Row],[Unit Price]]*Table1[[#This Row],[Quantity]]*VLOOKUP(C84,Table2[#All],2,FALSE),0)</f>
        <v>1584</v>
      </c>
      <c r="P84">
        <f>ROUND(F84*G84,0)</f>
        <v>2880</v>
      </c>
      <c r="Q84">
        <f>ROUND((G84*F84)-O84,0)</f>
        <v>1296</v>
      </c>
    </row>
    <row r="85" spans="1:17">
      <c r="A85" t="s">
        <v>105</v>
      </c>
      <c r="B85" t="s">
        <v>16</v>
      </c>
      <c r="C85" t="s">
        <v>59</v>
      </c>
      <c r="D85" s="1">
        <v>45631</v>
      </c>
      <c r="E85" s="1">
        <v>45638</v>
      </c>
      <c r="F85">
        <v>1</v>
      </c>
      <c r="G85">
        <v>95</v>
      </c>
      <c r="H85" t="s">
        <v>13</v>
      </c>
      <c r="I85" t="s">
        <v>32</v>
      </c>
      <c r="J85" t="s">
        <v>14</v>
      </c>
      <c r="K85">
        <f>YEAR(D85)</f>
        <v>2024</v>
      </c>
      <c r="L85" t="str">
        <f>TEXT(D85,"mmm")</f>
        <v>Dec</v>
      </c>
      <c r="M85" t="str">
        <f>TEXT(D85,"ddd")</f>
        <v>Thu</v>
      </c>
      <c r="N85">
        <f>DATEDIF(D85, E85, "d")</f>
        <v>7</v>
      </c>
      <c r="O85">
        <f>ROUND(Table1[[#This Row],[Unit Price]]*Table1[[#This Row],[Quantity]]*VLOOKUP(C85,Table2[#All],2,FALSE),0)</f>
        <v>62</v>
      </c>
      <c r="P85">
        <f>ROUND(F85*G85,0)</f>
        <v>95</v>
      </c>
      <c r="Q85">
        <f>ROUND((G85*F85)-O85,0)</f>
        <v>33</v>
      </c>
    </row>
    <row r="86" spans="1:17">
      <c r="A86" t="s">
        <v>105</v>
      </c>
      <c r="B86" t="s">
        <v>30</v>
      </c>
      <c r="C86" t="s">
        <v>49</v>
      </c>
      <c r="D86" s="1">
        <v>45890</v>
      </c>
      <c r="E86" s="1">
        <v>45891</v>
      </c>
      <c r="F86">
        <v>1</v>
      </c>
      <c r="G86">
        <v>46</v>
      </c>
      <c r="H86" t="s">
        <v>13</v>
      </c>
      <c r="I86" t="s">
        <v>548</v>
      </c>
      <c r="J86" t="s">
        <v>28</v>
      </c>
      <c r="K86">
        <f>YEAR(D86)</f>
        <v>2025</v>
      </c>
      <c r="L86" t="str">
        <f>TEXT(D86,"mmm")</f>
        <v>Aug</v>
      </c>
      <c r="M86" t="str">
        <f>TEXT(D86,"ddd")</f>
        <v>Thu</v>
      </c>
      <c r="N86">
        <f>DATEDIF(D86, E86, "d")</f>
        <v>1</v>
      </c>
      <c r="O86">
        <f>ROUND(Table1[[#This Row],[Unit Price]]*Table1[[#This Row],[Quantity]]*VLOOKUP(C86,Table2[#All],2,FALSE),0)</f>
        <v>32</v>
      </c>
      <c r="P86">
        <f>ROUND(F86*G86,0)</f>
        <v>46</v>
      </c>
      <c r="Q86">
        <f>ROUND((G86*F86)-O86,0)</f>
        <v>14</v>
      </c>
    </row>
    <row r="87" spans="1:17">
      <c r="A87" t="s">
        <v>471</v>
      </c>
      <c r="B87" t="s">
        <v>30</v>
      </c>
      <c r="C87" t="s">
        <v>31</v>
      </c>
      <c r="D87" s="1">
        <v>45693</v>
      </c>
      <c r="E87" s="1">
        <v>45702</v>
      </c>
      <c r="F87">
        <v>10</v>
      </c>
      <c r="G87">
        <v>356</v>
      </c>
      <c r="H87" t="s">
        <v>13</v>
      </c>
      <c r="I87" t="s">
        <v>546</v>
      </c>
      <c r="J87" t="s">
        <v>45</v>
      </c>
      <c r="K87">
        <f>YEAR(D87)</f>
        <v>2025</v>
      </c>
      <c r="L87" t="str">
        <f>TEXT(D87,"mmm")</f>
        <v>Feb</v>
      </c>
      <c r="M87" t="str">
        <f>TEXT(D87,"ddd")</f>
        <v>Wed</v>
      </c>
      <c r="N87">
        <f>DATEDIF(D87, E87, "d")</f>
        <v>9</v>
      </c>
      <c r="O87">
        <f>ROUND(Table1[[#This Row],[Unit Price]]*Table1[[#This Row],[Quantity]]*VLOOKUP(C87,Table2[#All],2,FALSE),0)</f>
        <v>2670</v>
      </c>
      <c r="P87">
        <f>ROUND(F87*G87,0)</f>
        <v>3560</v>
      </c>
      <c r="Q87">
        <f>ROUND((G87*F87)-O87,0)</f>
        <v>890</v>
      </c>
    </row>
    <row r="88" spans="1:17">
      <c r="A88" t="s">
        <v>258</v>
      </c>
      <c r="B88" t="s">
        <v>20</v>
      </c>
      <c r="C88" t="s">
        <v>39</v>
      </c>
      <c r="D88" s="1">
        <v>45308</v>
      </c>
      <c r="E88" s="1">
        <v>45318</v>
      </c>
      <c r="F88">
        <v>7</v>
      </c>
      <c r="G88">
        <v>639</v>
      </c>
      <c r="H88" t="s">
        <v>13</v>
      </c>
      <c r="I88" t="s">
        <v>548</v>
      </c>
      <c r="J88" t="s">
        <v>18</v>
      </c>
      <c r="K88">
        <f>YEAR(D88)</f>
        <v>2024</v>
      </c>
      <c r="L88" t="str">
        <f>TEXT(D88,"mmm")</f>
        <v>Jan</v>
      </c>
      <c r="M88" t="str">
        <f>TEXT(D88,"ddd")</f>
        <v>Wed</v>
      </c>
      <c r="N88">
        <f>DATEDIF(D88, E88, "d")</f>
        <v>10</v>
      </c>
      <c r="O88">
        <f>ROUND(Table1[[#This Row],[Unit Price]]*Table1[[#This Row],[Quantity]]*VLOOKUP(C88,Table2[#All],2,FALSE),0)</f>
        <v>2907</v>
      </c>
      <c r="P88">
        <f>ROUND(F88*G88,0)</f>
        <v>4473</v>
      </c>
      <c r="Q88">
        <f>ROUND((G88*F88)-O88,0)</f>
        <v>1566</v>
      </c>
    </row>
    <row r="89" spans="1:17">
      <c r="A89" t="s">
        <v>351</v>
      </c>
      <c r="B89" t="s">
        <v>23</v>
      </c>
      <c r="C89" t="s">
        <v>24</v>
      </c>
      <c r="D89" s="1">
        <v>45826</v>
      </c>
      <c r="E89" s="1">
        <v>45836</v>
      </c>
      <c r="F89">
        <v>6</v>
      </c>
      <c r="G89">
        <v>973</v>
      </c>
      <c r="H89" t="s">
        <v>13</v>
      </c>
      <c r="I89" t="s">
        <v>548</v>
      </c>
      <c r="J89" t="s">
        <v>14</v>
      </c>
      <c r="K89">
        <f>YEAR(D89)</f>
        <v>2025</v>
      </c>
      <c r="L89" t="str">
        <f>TEXT(D89,"mmm")</f>
        <v>Jun</v>
      </c>
      <c r="M89" t="str">
        <f>TEXT(D89,"ddd")</f>
        <v>Wed</v>
      </c>
      <c r="N89">
        <f>DATEDIF(D89, E89, "d")</f>
        <v>10</v>
      </c>
      <c r="O89">
        <f>ROUND(Table1[[#This Row],[Unit Price]]*Table1[[#This Row],[Quantity]]*VLOOKUP(C89,Table2[#All],2,FALSE),0)</f>
        <v>3211</v>
      </c>
      <c r="P89">
        <f>ROUND(F89*G89,0)</f>
        <v>5838</v>
      </c>
      <c r="Q89">
        <f>ROUND((G89*F89)-O89,0)</f>
        <v>2627</v>
      </c>
    </row>
    <row r="90" spans="1:17">
      <c r="A90" t="s">
        <v>390</v>
      </c>
      <c r="B90" t="s">
        <v>20</v>
      </c>
      <c r="C90" t="s">
        <v>53</v>
      </c>
      <c r="D90" s="1">
        <v>45829</v>
      </c>
      <c r="E90" s="1">
        <v>45836</v>
      </c>
      <c r="F90">
        <v>2</v>
      </c>
      <c r="G90">
        <v>236</v>
      </c>
      <c r="H90" t="s">
        <v>27</v>
      </c>
      <c r="I90" t="s">
        <v>550</v>
      </c>
      <c r="J90" t="s">
        <v>14</v>
      </c>
      <c r="K90">
        <f>YEAR(D90)</f>
        <v>2025</v>
      </c>
      <c r="L90" t="str">
        <f>TEXT(D90,"mmm")</f>
        <v>Jun</v>
      </c>
      <c r="M90" t="str">
        <f>TEXT(D90,"ddd")</f>
        <v>Sat</v>
      </c>
      <c r="N90">
        <f>DATEDIF(D90, E90, "d")</f>
        <v>7</v>
      </c>
      <c r="O90">
        <f>ROUND(Table1[[#This Row],[Unit Price]]*Table1[[#This Row],[Quantity]]*VLOOKUP(C90,Table2[#All],2,FALSE),0)</f>
        <v>330</v>
      </c>
      <c r="P90">
        <f>ROUND(F90*G90,0)</f>
        <v>472</v>
      </c>
      <c r="Q90">
        <f>ROUND((G90*F90)-O90,0)</f>
        <v>142</v>
      </c>
    </row>
    <row r="91" spans="1:17">
      <c r="A91" t="s">
        <v>330</v>
      </c>
      <c r="B91" t="s">
        <v>11</v>
      </c>
      <c r="C91" t="s">
        <v>95</v>
      </c>
      <c r="D91" s="1">
        <v>45332</v>
      </c>
      <c r="E91" s="1">
        <v>45346</v>
      </c>
      <c r="F91">
        <v>9</v>
      </c>
      <c r="G91">
        <v>953</v>
      </c>
      <c r="H91" t="s">
        <v>27</v>
      </c>
      <c r="I91" t="s">
        <v>547</v>
      </c>
      <c r="J91" t="s">
        <v>28</v>
      </c>
      <c r="K91">
        <f>YEAR(D91)</f>
        <v>2024</v>
      </c>
      <c r="L91" t="str">
        <f>TEXT(D91,"mmm")</f>
        <v>Feb</v>
      </c>
      <c r="M91" t="str">
        <f>TEXT(D91,"ddd")</f>
        <v>Sat</v>
      </c>
      <c r="N91">
        <f>DATEDIF(D91, E91, "d")</f>
        <v>14</v>
      </c>
      <c r="O91">
        <f>ROUND(Table1[[#This Row],[Unit Price]]*Table1[[#This Row],[Quantity]]*VLOOKUP(C91,Table2[#All],2,FALSE),0)</f>
        <v>6004</v>
      </c>
      <c r="P91">
        <f>ROUND(F91*G91,0)</f>
        <v>8577</v>
      </c>
      <c r="Q91">
        <f>ROUND((G91*F91)-O91,0)</f>
        <v>2573</v>
      </c>
    </row>
    <row r="92" spans="1:17">
      <c r="A92" t="s">
        <v>357</v>
      </c>
      <c r="B92" t="s">
        <v>23</v>
      </c>
      <c r="C92" t="s">
        <v>37</v>
      </c>
      <c r="D92" s="1">
        <v>45815</v>
      </c>
      <c r="E92" s="1">
        <v>45819</v>
      </c>
      <c r="F92">
        <v>8</v>
      </c>
      <c r="G92">
        <v>329</v>
      </c>
      <c r="H92" t="s">
        <v>13</v>
      </c>
      <c r="I92" t="s">
        <v>549</v>
      </c>
      <c r="J92" t="s">
        <v>14</v>
      </c>
      <c r="K92">
        <f>YEAR(D92)</f>
        <v>2025</v>
      </c>
      <c r="L92" t="str">
        <f>TEXT(D92,"mmm")</f>
        <v>Jun</v>
      </c>
      <c r="M92" t="str">
        <f>TEXT(D92,"ddd")</f>
        <v>Sat</v>
      </c>
      <c r="N92">
        <f>DATEDIF(D92, E92, "d")</f>
        <v>4</v>
      </c>
      <c r="O92">
        <f>ROUND(Table1[[#This Row],[Unit Price]]*Table1[[#This Row],[Quantity]]*VLOOKUP(C92,Table2[#All],2,FALSE),0)</f>
        <v>1316</v>
      </c>
      <c r="P92">
        <f>ROUND(F92*G92,0)</f>
        <v>2632</v>
      </c>
      <c r="Q92">
        <f>ROUND((G92*F92)-O92,0)</f>
        <v>1316</v>
      </c>
    </row>
    <row r="93" spans="1:17">
      <c r="A93" t="s">
        <v>262</v>
      </c>
      <c r="B93" t="s">
        <v>16</v>
      </c>
      <c r="C93" t="s">
        <v>63</v>
      </c>
      <c r="D93" s="1">
        <v>45503</v>
      </c>
      <c r="E93" s="1">
        <v>45510</v>
      </c>
      <c r="F93">
        <v>5</v>
      </c>
      <c r="G93">
        <v>291</v>
      </c>
      <c r="H93" t="s">
        <v>27</v>
      </c>
      <c r="I93" t="s">
        <v>550</v>
      </c>
      <c r="J93" t="s">
        <v>28</v>
      </c>
      <c r="K93">
        <f>YEAR(D93)</f>
        <v>2024</v>
      </c>
      <c r="L93" t="str">
        <f>TEXT(D93,"mmm")</f>
        <v>Jul</v>
      </c>
      <c r="M93" t="str">
        <f>TEXT(D93,"ddd")</f>
        <v>Tue</v>
      </c>
      <c r="N93">
        <f>DATEDIF(D93, E93, "d")</f>
        <v>7</v>
      </c>
      <c r="O93">
        <f>ROUND(Table1[[#This Row],[Unit Price]]*Table1[[#This Row],[Quantity]]*VLOOKUP(C93,Table2[#All],2,FALSE),0)</f>
        <v>728</v>
      </c>
      <c r="P93">
        <f>ROUND(F93*G93,0)</f>
        <v>1455</v>
      </c>
      <c r="Q93">
        <f>ROUND((G93*F93)-O93,0)</f>
        <v>727</v>
      </c>
    </row>
    <row r="94" spans="1:17">
      <c r="A94" t="s">
        <v>424</v>
      </c>
      <c r="B94" t="s">
        <v>23</v>
      </c>
      <c r="C94" t="s">
        <v>37</v>
      </c>
      <c r="D94" s="1">
        <v>45952</v>
      </c>
      <c r="E94" s="1">
        <v>45953</v>
      </c>
      <c r="F94">
        <v>10</v>
      </c>
      <c r="G94">
        <v>279</v>
      </c>
      <c r="H94" t="s">
        <v>13</v>
      </c>
      <c r="I94" t="s">
        <v>548</v>
      </c>
      <c r="J94" t="s">
        <v>45</v>
      </c>
      <c r="K94">
        <f>YEAR(D94)</f>
        <v>2025</v>
      </c>
      <c r="L94" t="str">
        <f>TEXT(D94,"mmm")</f>
        <v>Oct</v>
      </c>
      <c r="M94" t="str">
        <f>TEXT(D94,"ddd")</f>
        <v>Wed</v>
      </c>
      <c r="N94">
        <f>DATEDIF(D94, E94, "d")</f>
        <v>1</v>
      </c>
      <c r="O94">
        <f>ROUND(Table1[[#This Row],[Unit Price]]*Table1[[#This Row],[Quantity]]*VLOOKUP(C94,Table2[#All],2,FALSE),0)</f>
        <v>1395</v>
      </c>
      <c r="P94">
        <f>ROUND(F94*G94,0)</f>
        <v>2790</v>
      </c>
      <c r="Q94">
        <f>ROUND((G94*F94)-O94,0)</f>
        <v>1395</v>
      </c>
    </row>
    <row r="95" spans="1:17">
      <c r="A95" t="s">
        <v>409</v>
      </c>
      <c r="B95" t="s">
        <v>16</v>
      </c>
      <c r="C95" t="s">
        <v>17</v>
      </c>
      <c r="D95" s="1">
        <v>45804</v>
      </c>
      <c r="E95" s="1">
        <v>45811</v>
      </c>
      <c r="F95">
        <v>2</v>
      </c>
      <c r="G95">
        <v>288</v>
      </c>
      <c r="H95" t="s">
        <v>13</v>
      </c>
      <c r="I95" t="s">
        <v>546</v>
      </c>
      <c r="J95" t="s">
        <v>45</v>
      </c>
      <c r="K95">
        <f>YEAR(D95)</f>
        <v>2025</v>
      </c>
      <c r="L95" t="str">
        <f>TEXT(D95,"mmm")</f>
        <v>May</v>
      </c>
      <c r="M95" t="str">
        <f>TEXT(D95,"ddd")</f>
        <v>Tue</v>
      </c>
      <c r="N95">
        <f>DATEDIF(D95, E95, "d")</f>
        <v>7</v>
      </c>
      <c r="O95">
        <f>ROUND(Table1[[#This Row],[Unit Price]]*Table1[[#This Row],[Quantity]]*VLOOKUP(C95,Table2[#All],2,FALSE),0)</f>
        <v>288</v>
      </c>
      <c r="P95">
        <f>ROUND(F95*G95,0)</f>
        <v>576</v>
      </c>
      <c r="Q95">
        <f>ROUND((G95*F95)-O95,0)</f>
        <v>288</v>
      </c>
    </row>
    <row r="96" spans="1:17">
      <c r="A96" t="s">
        <v>426</v>
      </c>
      <c r="B96" t="s">
        <v>30</v>
      </c>
      <c r="C96" t="s">
        <v>75</v>
      </c>
      <c r="D96" s="1">
        <v>45989</v>
      </c>
      <c r="E96" s="1">
        <v>45993</v>
      </c>
      <c r="F96">
        <v>4</v>
      </c>
      <c r="G96">
        <v>346</v>
      </c>
      <c r="H96" t="s">
        <v>27</v>
      </c>
      <c r="I96" t="s">
        <v>550</v>
      </c>
      <c r="J96" t="s">
        <v>28</v>
      </c>
      <c r="K96">
        <f>YEAR(D96)</f>
        <v>2025</v>
      </c>
      <c r="L96" t="str">
        <f>TEXT(D96,"mmm")</f>
        <v>Nov</v>
      </c>
      <c r="M96" t="str">
        <f>TEXT(D96,"ddd")</f>
        <v>Fri</v>
      </c>
      <c r="N96">
        <f>DATEDIF(D96, E96, "d")</f>
        <v>4</v>
      </c>
      <c r="O96">
        <f>ROUND(Table1[[#This Row],[Unit Price]]*Table1[[#This Row],[Quantity]]*VLOOKUP(C96,Table2[#All],2,FALSE),0)</f>
        <v>1038</v>
      </c>
      <c r="P96">
        <f>ROUND(F96*G96,0)</f>
        <v>1384</v>
      </c>
      <c r="Q96">
        <f>ROUND((G96*F96)-O96,0)</f>
        <v>346</v>
      </c>
    </row>
    <row r="97" spans="1:17">
      <c r="A97" t="s">
        <v>215</v>
      </c>
      <c r="B97" t="s">
        <v>20</v>
      </c>
      <c r="C97" t="s">
        <v>53</v>
      </c>
      <c r="D97" s="1">
        <v>45477</v>
      </c>
      <c r="E97" s="1">
        <v>45490</v>
      </c>
      <c r="F97">
        <v>9</v>
      </c>
      <c r="G97">
        <v>239</v>
      </c>
      <c r="H97" t="s">
        <v>13</v>
      </c>
      <c r="I97" t="s">
        <v>550</v>
      </c>
      <c r="J97" t="s">
        <v>28</v>
      </c>
      <c r="K97">
        <f>YEAR(D97)</f>
        <v>2024</v>
      </c>
      <c r="L97" t="str">
        <f>TEXT(D97,"mmm")</f>
        <v>Jul</v>
      </c>
      <c r="M97" t="str">
        <f>TEXT(D97,"ddd")</f>
        <v>Thu</v>
      </c>
      <c r="N97">
        <f>DATEDIF(D97, E97, "d")</f>
        <v>13</v>
      </c>
      <c r="O97">
        <f>ROUND(Table1[[#This Row],[Unit Price]]*Table1[[#This Row],[Quantity]]*VLOOKUP(C97,Table2[#All],2,FALSE),0)</f>
        <v>1506</v>
      </c>
      <c r="P97">
        <f>ROUND(F97*G97,0)</f>
        <v>2151</v>
      </c>
      <c r="Q97">
        <f>ROUND((G97*F97)-O97,0)</f>
        <v>645</v>
      </c>
    </row>
    <row r="98" spans="1:17">
      <c r="A98" t="s">
        <v>279</v>
      </c>
      <c r="B98" t="s">
        <v>20</v>
      </c>
      <c r="C98" t="s">
        <v>53</v>
      </c>
      <c r="D98" s="1">
        <v>45445</v>
      </c>
      <c r="E98" s="1">
        <v>45454</v>
      </c>
      <c r="F98">
        <v>2</v>
      </c>
      <c r="G98">
        <v>679</v>
      </c>
      <c r="H98" t="s">
        <v>13</v>
      </c>
      <c r="I98" t="s">
        <v>548</v>
      </c>
      <c r="J98" t="s">
        <v>14</v>
      </c>
      <c r="K98">
        <f>YEAR(D98)</f>
        <v>2024</v>
      </c>
      <c r="L98" t="str">
        <f>TEXT(D98,"mmm")</f>
        <v>Jun</v>
      </c>
      <c r="M98" t="str">
        <f>TEXT(D98,"ddd")</f>
        <v>Sun</v>
      </c>
      <c r="N98">
        <f>DATEDIF(D98, E98, "d")</f>
        <v>9</v>
      </c>
      <c r="O98">
        <f>ROUND(Table1[[#This Row],[Unit Price]]*Table1[[#This Row],[Quantity]]*VLOOKUP(C98,Table2[#All],2,FALSE),0)</f>
        <v>951</v>
      </c>
      <c r="P98">
        <f>ROUND(F98*G98,0)</f>
        <v>1358</v>
      </c>
      <c r="Q98">
        <f>ROUND((G98*F98)-O98,0)</f>
        <v>407</v>
      </c>
    </row>
    <row r="99" spans="1:17">
      <c r="A99" t="s">
        <v>369</v>
      </c>
      <c r="B99" t="s">
        <v>30</v>
      </c>
      <c r="C99" t="s">
        <v>49</v>
      </c>
      <c r="D99" s="1">
        <v>45855</v>
      </c>
      <c r="E99" s="1">
        <v>45864</v>
      </c>
      <c r="F99">
        <v>4</v>
      </c>
      <c r="G99">
        <v>432</v>
      </c>
      <c r="H99" t="s">
        <v>13</v>
      </c>
      <c r="I99" t="s">
        <v>549</v>
      </c>
      <c r="J99" t="s">
        <v>14</v>
      </c>
      <c r="K99">
        <f>YEAR(D99)</f>
        <v>2025</v>
      </c>
      <c r="L99" t="str">
        <f>TEXT(D99,"mmm")</f>
        <v>Jul</v>
      </c>
      <c r="M99" t="str">
        <f>TEXT(D99,"ddd")</f>
        <v>Thu</v>
      </c>
      <c r="N99">
        <f>DATEDIF(D99, E99, "d")</f>
        <v>9</v>
      </c>
      <c r="O99">
        <f>ROUND(Table1[[#This Row],[Unit Price]]*Table1[[#This Row],[Quantity]]*VLOOKUP(C99,Table2[#All],2,FALSE),0)</f>
        <v>1210</v>
      </c>
      <c r="P99">
        <f>ROUND(F99*G99,0)</f>
        <v>1728</v>
      </c>
      <c r="Q99">
        <f>ROUND((G99*F99)-O99,0)</f>
        <v>518</v>
      </c>
    </row>
    <row r="100" spans="1:17">
      <c r="A100" t="s">
        <v>382</v>
      </c>
      <c r="B100" t="s">
        <v>16</v>
      </c>
      <c r="C100" t="s">
        <v>55</v>
      </c>
      <c r="D100" s="1">
        <v>46000</v>
      </c>
      <c r="E100" s="1">
        <v>46001</v>
      </c>
      <c r="F100">
        <v>5</v>
      </c>
      <c r="G100">
        <v>630</v>
      </c>
      <c r="H100" t="s">
        <v>13</v>
      </c>
      <c r="I100" t="s">
        <v>550</v>
      </c>
      <c r="J100" t="s">
        <v>45</v>
      </c>
      <c r="K100">
        <f>YEAR(D100)</f>
        <v>2025</v>
      </c>
      <c r="L100" t="str">
        <f>TEXT(D100,"mmm")</f>
        <v>Dec</v>
      </c>
      <c r="M100" t="str">
        <f>TEXT(D100,"ddd")</f>
        <v>Tue</v>
      </c>
      <c r="N100">
        <f>DATEDIF(D100, E100, "d")</f>
        <v>1</v>
      </c>
      <c r="O100">
        <f>ROUND(Table1[[#This Row],[Unit Price]]*Table1[[#This Row],[Quantity]]*VLOOKUP(C100,Table2[#All],2,FALSE),0)</f>
        <v>1733</v>
      </c>
      <c r="P100">
        <f>ROUND(F100*G100,0)</f>
        <v>3150</v>
      </c>
      <c r="Q100">
        <f>ROUND((G100*F100)-O100,0)</f>
        <v>1417</v>
      </c>
    </row>
    <row r="101" spans="1:17">
      <c r="A101" t="s">
        <v>358</v>
      </c>
      <c r="B101" t="s">
        <v>20</v>
      </c>
      <c r="C101" t="s">
        <v>21</v>
      </c>
      <c r="D101" s="1">
        <v>45665</v>
      </c>
      <c r="E101" s="1">
        <v>45672</v>
      </c>
      <c r="F101">
        <v>9</v>
      </c>
      <c r="G101">
        <v>785</v>
      </c>
      <c r="H101" t="s">
        <v>13</v>
      </c>
      <c r="I101" t="s">
        <v>546</v>
      </c>
      <c r="J101" t="s">
        <v>45</v>
      </c>
      <c r="K101">
        <f>YEAR(D101)</f>
        <v>2025</v>
      </c>
      <c r="L101" t="str">
        <f>TEXT(D101,"mmm")</f>
        <v>Jan</v>
      </c>
      <c r="M101" t="str">
        <f>TEXT(D101,"ddd")</f>
        <v>Wed</v>
      </c>
      <c r="N101">
        <f>DATEDIF(D101, E101, "d")</f>
        <v>7</v>
      </c>
      <c r="O101">
        <f>ROUND(Table1[[#This Row],[Unit Price]]*Table1[[#This Row],[Quantity]]*VLOOKUP(C101,Table2[#All],2,FALSE),0)</f>
        <v>5299</v>
      </c>
      <c r="P101">
        <f>ROUND(F101*G101,0)</f>
        <v>7065</v>
      </c>
      <c r="Q101">
        <f>ROUND((G101*F101)-O101,0)</f>
        <v>1766</v>
      </c>
    </row>
    <row r="102" spans="1:17">
      <c r="A102" t="s">
        <v>447</v>
      </c>
      <c r="B102" t="s">
        <v>20</v>
      </c>
      <c r="C102" t="s">
        <v>82</v>
      </c>
      <c r="D102" s="1">
        <v>45901</v>
      </c>
      <c r="E102" s="1">
        <v>45903</v>
      </c>
      <c r="F102">
        <v>8</v>
      </c>
      <c r="G102">
        <v>204</v>
      </c>
      <c r="H102" t="s">
        <v>27</v>
      </c>
      <c r="I102" t="s">
        <v>32</v>
      </c>
      <c r="J102" t="s">
        <v>14</v>
      </c>
      <c r="K102">
        <f>YEAR(D102)</f>
        <v>2025</v>
      </c>
      <c r="L102" t="str">
        <f>TEXT(D102,"mmm")</f>
        <v>Sep</v>
      </c>
      <c r="M102" t="str">
        <f>TEXT(D102,"ddd")</f>
        <v>Mon</v>
      </c>
      <c r="N102">
        <f>DATEDIF(D102, E102, "d")</f>
        <v>2</v>
      </c>
      <c r="O102">
        <f>ROUND(Table1[[#This Row],[Unit Price]]*Table1[[#This Row],[Quantity]]*VLOOKUP(C102,Table2[#All],2,FALSE),0)</f>
        <v>1306</v>
      </c>
      <c r="P102">
        <f>ROUND(F102*G102,0)</f>
        <v>1632</v>
      </c>
      <c r="Q102">
        <f>ROUND((G102*F102)-O102,0)</f>
        <v>326</v>
      </c>
    </row>
    <row r="103" spans="1:17">
      <c r="A103" t="s">
        <v>130</v>
      </c>
      <c r="B103" t="s">
        <v>23</v>
      </c>
      <c r="C103" t="s">
        <v>24</v>
      </c>
      <c r="D103" s="1">
        <v>45548</v>
      </c>
      <c r="E103" s="1">
        <v>45560</v>
      </c>
      <c r="F103">
        <v>9</v>
      </c>
      <c r="G103">
        <v>515</v>
      </c>
      <c r="H103" t="s">
        <v>27</v>
      </c>
      <c r="I103" t="s">
        <v>549</v>
      </c>
      <c r="J103" t="s">
        <v>14</v>
      </c>
      <c r="K103">
        <f>YEAR(D103)</f>
        <v>2024</v>
      </c>
      <c r="L103" t="str">
        <f>TEXT(D103,"mmm")</f>
        <v>Sep</v>
      </c>
      <c r="M103" t="str">
        <f>TEXT(D103,"ddd")</f>
        <v>Fri</v>
      </c>
      <c r="N103">
        <f>DATEDIF(D103, E103, "d")</f>
        <v>12</v>
      </c>
      <c r="O103">
        <f>ROUND(Table1[[#This Row],[Unit Price]]*Table1[[#This Row],[Quantity]]*VLOOKUP(C103,Table2[#All],2,FALSE),0)</f>
        <v>2549</v>
      </c>
      <c r="P103">
        <f>ROUND(F103*G103,0)</f>
        <v>4635</v>
      </c>
      <c r="Q103">
        <f>ROUND((G103*F103)-O103,0)</f>
        <v>2086</v>
      </c>
    </row>
    <row r="104" spans="1:17">
      <c r="A104" t="s">
        <v>490</v>
      </c>
      <c r="B104" t="s">
        <v>20</v>
      </c>
      <c r="C104" t="s">
        <v>21</v>
      </c>
      <c r="D104" s="1">
        <v>45742</v>
      </c>
      <c r="E104" s="1">
        <v>45748</v>
      </c>
      <c r="F104">
        <v>10</v>
      </c>
      <c r="G104">
        <v>405</v>
      </c>
      <c r="H104" t="s">
        <v>13</v>
      </c>
      <c r="I104" t="s">
        <v>32</v>
      </c>
      <c r="J104" t="s">
        <v>45</v>
      </c>
      <c r="K104">
        <f>YEAR(D104)</f>
        <v>2025</v>
      </c>
      <c r="L104" t="str">
        <f>TEXT(D104,"mmm")</f>
        <v>Mar</v>
      </c>
      <c r="M104" t="str">
        <f>TEXT(D104,"ddd")</f>
        <v>Wed</v>
      </c>
      <c r="N104">
        <f>DATEDIF(D104, E104, "d")</f>
        <v>6</v>
      </c>
      <c r="O104">
        <f>ROUND(Table1[[#This Row],[Unit Price]]*Table1[[#This Row],[Quantity]]*VLOOKUP(C104,Table2[#All],2,FALSE),0)</f>
        <v>3038</v>
      </c>
      <c r="P104">
        <f>ROUND(F104*G104,0)</f>
        <v>4050</v>
      </c>
      <c r="Q104">
        <f>ROUND((G104*F104)-O104,0)</f>
        <v>1012</v>
      </c>
    </row>
    <row r="105" spans="1:17">
      <c r="A105" t="s">
        <v>50</v>
      </c>
      <c r="B105" t="s">
        <v>20</v>
      </c>
      <c r="C105" t="s">
        <v>51</v>
      </c>
      <c r="D105" s="1">
        <v>45346</v>
      </c>
      <c r="E105" s="1">
        <v>45354</v>
      </c>
      <c r="F105">
        <v>5</v>
      </c>
      <c r="G105">
        <v>871</v>
      </c>
      <c r="H105" t="s">
        <v>27</v>
      </c>
      <c r="I105" t="s">
        <v>32</v>
      </c>
      <c r="J105" t="s">
        <v>14</v>
      </c>
      <c r="K105">
        <f>YEAR(D105)</f>
        <v>2024</v>
      </c>
      <c r="L105" t="str">
        <f>TEXT(D105,"mmm")</f>
        <v>Feb</v>
      </c>
      <c r="M105" t="str">
        <f>TEXT(D105,"ddd")</f>
        <v>Sat</v>
      </c>
      <c r="N105">
        <f>DATEDIF(D105, E105, "d")</f>
        <v>8</v>
      </c>
      <c r="O105">
        <f>ROUND(Table1[[#This Row],[Unit Price]]*Table1[[#This Row],[Quantity]]*VLOOKUP(C105,Table2[#All],2,FALSE),0)</f>
        <v>3049</v>
      </c>
      <c r="P105">
        <f>ROUND(F105*G105,0)</f>
        <v>4355</v>
      </c>
      <c r="Q105">
        <f>ROUND((G105*F105)-O105,0)</f>
        <v>1306</v>
      </c>
    </row>
    <row r="106" spans="1:17">
      <c r="A106" t="s">
        <v>50</v>
      </c>
      <c r="B106" t="s">
        <v>23</v>
      </c>
      <c r="C106" t="s">
        <v>37</v>
      </c>
      <c r="D106" s="1">
        <v>45948</v>
      </c>
      <c r="E106" s="1">
        <v>45955</v>
      </c>
      <c r="F106">
        <v>6</v>
      </c>
      <c r="G106">
        <v>124</v>
      </c>
      <c r="H106" t="s">
        <v>27</v>
      </c>
      <c r="I106" t="s">
        <v>550</v>
      </c>
      <c r="J106" t="s">
        <v>45</v>
      </c>
      <c r="K106">
        <f>YEAR(D106)</f>
        <v>2025</v>
      </c>
      <c r="L106" t="str">
        <f>TEXT(D106,"mmm")</f>
        <v>Oct</v>
      </c>
      <c r="M106" t="str">
        <f>TEXT(D106,"ddd")</f>
        <v>Sat</v>
      </c>
      <c r="N106">
        <f>DATEDIF(D106, E106, "d")</f>
        <v>7</v>
      </c>
      <c r="O106">
        <f>ROUND(Table1[[#This Row],[Unit Price]]*Table1[[#This Row],[Quantity]]*VLOOKUP(C106,Table2[#All],2,FALSE),0)</f>
        <v>372</v>
      </c>
      <c r="P106">
        <f>ROUND(F106*G106,0)</f>
        <v>744</v>
      </c>
      <c r="Q106">
        <f>ROUND((G106*F106)-O106,0)</f>
        <v>372</v>
      </c>
    </row>
    <row r="107" spans="1:17">
      <c r="A107" t="s">
        <v>334</v>
      </c>
      <c r="B107" t="s">
        <v>16</v>
      </c>
      <c r="C107" t="s">
        <v>55</v>
      </c>
      <c r="D107" s="1">
        <v>45377</v>
      </c>
      <c r="E107" s="1">
        <v>45390</v>
      </c>
      <c r="F107">
        <v>6</v>
      </c>
      <c r="G107">
        <v>139</v>
      </c>
      <c r="H107" t="s">
        <v>27</v>
      </c>
      <c r="I107" t="s">
        <v>551</v>
      </c>
      <c r="J107" t="s">
        <v>45</v>
      </c>
      <c r="K107">
        <f>YEAR(D107)</f>
        <v>2024</v>
      </c>
      <c r="L107" t="str">
        <f>TEXT(D107,"mmm")</f>
        <v>Mar</v>
      </c>
      <c r="M107" t="str">
        <f>TEXT(D107,"ddd")</f>
        <v>Tue</v>
      </c>
      <c r="N107">
        <f>DATEDIF(D107, E107, "d")</f>
        <v>13</v>
      </c>
      <c r="O107">
        <f>ROUND(Table1[[#This Row],[Unit Price]]*Table1[[#This Row],[Quantity]]*VLOOKUP(C107,Table2[#All],2,FALSE),0)</f>
        <v>459</v>
      </c>
      <c r="P107">
        <f>ROUND(F107*G107,0)</f>
        <v>834</v>
      </c>
      <c r="Q107">
        <f>ROUND((G107*F107)-O107,0)</f>
        <v>375</v>
      </c>
    </row>
    <row r="108" spans="1:17">
      <c r="A108" t="s">
        <v>193</v>
      </c>
      <c r="B108" t="s">
        <v>23</v>
      </c>
      <c r="C108" t="s">
        <v>24</v>
      </c>
      <c r="D108" s="1">
        <v>45357</v>
      </c>
      <c r="E108" s="1">
        <v>45362</v>
      </c>
      <c r="F108">
        <v>9</v>
      </c>
      <c r="G108">
        <v>105</v>
      </c>
      <c r="H108" t="s">
        <v>27</v>
      </c>
      <c r="I108" t="s">
        <v>32</v>
      </c>
      <c r="J108" t="s">
        <v>45</v>
      </c>
      <c r="K108">
        <f>YEAR(D108)</f>
        <v>2024</v>
      </c>
      <c r="L108" t="str">
        <f>TEXT(D108,"mmm")</f>
        <v>Mar</v>
      </c>
      <c r="M108" t="str">
        <f>TEXT(D108,"ddd")</f>
        <v>Wed</v>
      </c>
      <c r="N108">
        <f>DATEDIF(D108, E108, "d")</f>
        <v>5</v>
      </c>
      <c r="O108">
        <f>ROUND(Table1[[#This Row],[Unit Price]]*Table1[[#This Row],[Quantity]]*VLOOKUP(C108,Table2[#All],2,FALSE),0)</f>
        <v>520</v>
      </c>
      <c r="P108">
        <f>ROUND(F108*G108,0)</f>
        <v>945</v>
      </c>
      <c r="Q108">
        <f>ROUND((G108*F108)-O108,0)</f>
        <v>425</v>
      </c>
    </row>
    <row r="109" spans="1:17">
      <c r="A109" t="s">
        <v>425</v>
      </c>
      <c r="B109" t="s">
        <v>16</v>
      </c>
      <c r="C109" t="s">
        <v>63</v>
      </c>
      <c r="D109" s="1">
        <v>45675</v>
      </c>
      <c r="E109" s="1">
        <v>45678</v>
      </c>
      <c r="F109">
        <v>4</v>
      </c>
      <c r="G109">
        <v>801</v>
      </c>
      <c r="H109" t="s">
        <v>13</v>
      </c>
      <c r="I109" t="s">
        <v>549</v>
      </c>
      <c r="J109" t="s">
        <v>14</v>
      </c>
      <c r="K109">
        <f>YEAR(D109)</f>
        <v>2025</v>
      </c>
      <c r="L109" t="str">
        <f>TEXT(D109,"mmm")</f>
        <v>Jan</v>
      </c>
      <c r="M109" t="str">
        <f>TEXT(D109,"ddd")</f>
        <v>Sat</v>
      </c>
      <c r="N109">
        <f>DATEDIF(D109, E109, "d")</f>
        <v>3</v>
      </c>
      <c r="O109">
        <f>ROUND(Table1[[#This Row],[Unit Price]]*Table1[[#This Row],[Quantity]]*VLOOKUP(C109,Table2[#All],2,FALSE),0)</f>
        <v>1602</v>
      </c>
      <c r="P109">
        <f>ROUND(F109*G109,0)</f>
        <v>3204</v>
      </c>
      <c r="Q109">
        <f>ROUND((G109*F109)-O109,0)</f>
        <v>1602</v>
      </c>
    </row>
    <row r="110" spans="1:17">
      <c r="A110" t="s">
        <v>259</v>
      </c>
      <c r="B110" t="s">
        <v>20</v>
      </c>
      <c r="C110" t="s">
        <v>39</v>
      </c>
      <c r="D110" s="1">
        <v>45343</v>
      </c>
      <c r="E110" s="1">
        <v>45356</v>
      </c>
      <c r="F110">
        <v>10</v>
      </c>
      <c r="G110">
        <v>44</v>
      </c>
      <c r="H110" t="s">
        <v>27</v>
      </c>
      <c r="I110" t="s">
        <v>549</v>
      </c>
      <c r="J110" t="s">
        <v>28</v>
      </c>
      <c r="K110">
        <f>YEAR(D110)</f>
        <v>2024</v>
      </c>
      <c r="L110" t="str">
        <f>TEXT(D110,"mmm")</f>
        <v>Feb</v>
      </c>
      <c r="M110" t="str">
        <f>TEXT(D110,"ddd")</f>
        <v>Wed</v>
      </c>
      <c r="N110">
        <f>DATEDIF(D110, E110, "d")</f>
        <v>13</v>
      </c>
      <c r="O110">
        <f>ROUND(Table1[[#This Row],[Unit Price]]*Table1[[#This Row],[Quantity]]*VLOOKUP(C110,Table2[#All],2,FALSE),0)</f>
        <v>286</v>
      </c>
      <c r="P110">
        <f>ROUND(F110*G110,0)</f>
        <v>440</v>
      </c>
      <c r="Q110">
        <f>ROUND((G110*F110)-O110,0)</f>
        <v>154</v>
      </c>
    </row>
    <row r="111" spans="1:17">
      <c r="A111" t="s">
        <v>172</v>
      </c>
      <c r="B111" t="s">
        <v>16</v>
      </c>
      <c r="C111" t="s">
        <v>59</v>
      </c>
      <c r="D111" s="1">
        <v>45637</v>
      </c>
      <c r="E111" s="1">
        <v>45645</v>
      </c>
      <c r="F111">
        <v>9</v>
      </c>
      <c r="G111">
        <v>36</v>
      </c>
      <c r="H111" t="s">
        <v>13</v>
      </c>
      <c r="I111" t="s">
        <v>32</v>
      </c>
      <c r="J111" t="s">
        <v>45</v>
      </c>
      <c r="K111">
        <f>YEAR(D111)</f>
        <v>2024</v>
      </c>
      <c r="L111" t="str">
        <f>TEXT(D111,"mmm")</f>
        <v>Dec</v>
      </c>
      <c r="M111" t="str">
        <f>TEXT(D111,"ddd")</f>
        <v>Wed</v>
      </c>
      <c r="N111">
        <f>DATEDIF(D111, E111, "d")</f>
        <v>8</v>
      </c>
      <c r="O111">
        <f>ROUND(Table1[[#This Row],[Unit Price]]*Table1[[#This Row],[Quantity]]*VLOOKUP(C111,Table2[#All],2,FALSE),0)</f>
        <v>211</v>
      </c>
      <c r="P111">
        <f>ROUND(F111*G111,0)</f>
        <v>324</v>
      </c>
      <c r="Q111">
        <f>ROUND((G111*F111)-O111,0)</f>
        <v>113</v>
      </c>
    </row>
    <row r="112" spans="1:17">
      <c r="A112" t="s">
        <v>518</v>
      </c>
      <c r="B112" t="s">
        <v>16</v>
      </c>
      <c r="C112" t="s">
        <v>43</v>
      </c>
      <c r="D112" s="1">
        <v>45921</v>
      </c>
      <c r="E112" s="1">
        <v>45928</v>
      </c>
      <c r="F112">
        <v>9</v>
      </c>
      <c r="G112">
        <v>485</v>
      </c>
      <c r="H112" t="s">
        <v>27</v>
      </c>
      <c r="I112" t="s">
        <v>549</v>
      </c>
      <c r="J112" t="s">
        <v>28</v>
      </c>
      <c r="K112">
        <f>YEAR(D112)</f>
        <v>2025</v>
      </c>
      <c r="L112" t="str">
        <f>TEXT(D112,"mmm")</f>
        <v>Sep</v>
      </c>
      <c r="M112" t="str">
        <f>TEXT(D112,"ddd")</f>
        <v>Sun</v>
      </c>
      <c r="N112">
        <f>DATEDIF(D112, E112, "d")</f>
        <v>7</v>
      </c>
      <c r="O112">
        <f>ROUND(Table1[[#This Row],[Unit Price]]*Table1[[#This Row],[Quantity]]*VLOOKUP(C112,Table2[#All],2,FALSE),0)</f>
        <v>2619</v>
      </c>
      <c r="P112">
        <f>ROUND(F112*G112,0)</f>
        <v>4365</v>
      </c>
      <c r="Q112">
        <f>ROUND((G112*F112)-O112,0)</f>
        <v>1746</v>
      </c>
    </row>
    <row r="113" spans="1:17">
      <c r="A113" t="s">
        <v>266</v>
      </c>
      <c r="B113" t="s">
        <v>11</v>
      </c>
      <c r="C113" t="s">
        <v>12</v>
      </c>
      <c r="D113" s="1">
        <v>45388</v>
      </c>
      <c r="E113" s="1">
        <v>45391</v>
      </c>
      <c r="F113">
        <v>10</v>
      </c>
      <c r="G113">
        <v>751</v>
      </c>
      <c r="H113" t="s">
        <v>13</v>
      </c>
      <c r="I113" t="s">
        <v>32</v>
      </c>
      <c r="J113" t="s">
        <v>28</v>
      </c>
      <c r="K113">
        <f>YEAR(D113)</f>
        <v>2024</v>
      </c>
      <c r="L113" t="str">
        <f>TEXT(D113,"mmm")</f>
        <v>Apr</v>
      </c>
      <c r="M113" t="str">
        <f>TEXT(D113,"ddd")</f>
        <v>Sat</v>
      </c>
      <c r="N113">
        <f>DATEDIF(D113, E113, "d")</f>
        <v>3</v>
      </c>
      <c r="O113">
        <f>ROUND(Table1[[#This Row],[Unit Price]]*Table1[[#This Row],[Quantity]]*VLOOKUP(C113,Table2[#All],2,FALSE),0)</f>
        <v>5633</v>
      </c>
      <c r="P113">
        <f>ROUND(F113*G113,0)</f>
        <v>7510</v>
      </c>
      <c r="Q113">
        <f>ROUND((G113*F113)-O113,0)</f>
        <v>1877</v>
      </c>
    </row>
    <row r="114" spans="1:17">
      <c r="A114" t="s">
        <v>396</v>
      </c>
      <c r="B114" t="s">
        <v>20</v>
      </c>
      <c r="C114" t="s">
        <v>39</v>
      </c>
      <c r="D114" s="1">
        <v>45702</v>
      </c>
      <c r="E114" s="1">
        <v>45712</v>
      </c>
      <c r="F114">
        <v>10</v>
      </c>
      <c r="G114">
        <v>503</v>
      </c>
      <c r="H114" t="s">
        <v>27</v>
      </c>
      <c r="I114" t="s">
        <v>549</v>
      </c>
      <c r="J114" t="s">
        <v>45</v>
      </c>
      <c r="K114">
        <f>YEAR(D114)</f>
        <v>2025</v>
      </c>
      <c r="L114" t="str">
        <f>TEXT(D114,"mmm")</f>
        <v>Feb</v>
      </c>
      <c r="M114" t="str">
        <f>TEXT(D114,"ddd")</f>
        <v>Fri</v>
      </c>
      <c r="N114">
        <f>DATEDIF(D114, E114, "d")</f>
        <v>10</v>
      </c>
      <c r="O114">
        <f>ROUND(Table1[[#This Row],[Unit Price]]*Table1[[#This Row],[Quantity]]*VLOOKUP(C114,Table2[#All],2,FALSE),0)</f>
        <v>3270</v>
      </c>
      <c r="P114">
        <f>ROUND(F114*G114,0)</f>
        <v>5030</v>
      </c>
      <c r="Q114">
        <f>ROUND((G114*F114)-O114,0)</f>
        <v>1760</v>
      </c>
    </row>
    <row r="115" spans="1:17">
      <c r="A115" t="s">
        <v>395</v>
      </c>
      <c r="B115" t="s">
        <v>20</v>
      </c>
      <c r="C115" t="s">
        <v>82</v>
      </c>
      <c r="D115" s="1">
        <v>46011</v>
      </c>
      <c r="E115" s="1">
        <v>46013</v>
      </c>
      <c r="F115">
        <v>3</v>
      </c>
      <c r="G115">
        <v>375</v>
      </c>
      <c r="H115" t="s">
        <v>27</v>
      </c>
      <c r="I115" t="s">
        <v>546</v>
      </c>
      <c r="J115" t="s">
        <v>28</v>
      </c>
      <c r="K115">
        <f>YEAR(D115)</f>
        <v>2025</v>
      </c>
      <c r="L115" t="str">
        <f>TEXT(D115,"mmm")</f>
        <v>Dec</v>
      </c>
      <c r="M115" t="str">
        <f>TEXT(D115,"ddd")</f>
        <v>Sat</v>
      </c>
      <c r="N115">
        <f>DATEDIF(D115, E115, "d")</f>
        <v>2</v>
      </c>
      <c r="O115">
        <f>ROUND(Table1[[#This Row],[Unit Price]]*Table1[[#This Row],[Quantity]]*VLOOKUP(C115,Table2[#All],2,FALSE),0)</f>
        <v>900</v>
      </c>
      <c r="P115">
        <f>ROUND(F115*G115,0)</f>
        <v>1125</v>
      </c>
      <c r="Q115">
        <f>ROUND((G115*F115)-O115,0)</f>
        <v>225</v>
      </c>
    </row>
    <row r="116" spans="1:17">
      <c r="A116" t="s">
        <v>74</v>
      </c>
      <c r="B116" t="s">
        <v>30</v>
      </c>
      <c r="C116" t="s">
        <v>75</v>
      </c>
      <c r="D116" s="1">
        <v>45296</v>
      </c>
      <c r="E116" s="1">
        <v>45301</v>
      </c>
      <c r="F116">
        <v>8</v>
      </c>
      <c r="G116">
        <v>646</v>
      </c>
      <c r="H116" t="s">
        <v>13</v>
      </c>
      <c r="I116" t="s">
        <v>32</v>
      </c>
      <c r="J116" t="s">
        <v>45</v>
      </c>
      <c r="K116">
        <f>YEAR(D116)</f>
        <v>2024</v>
      </c>
      <c r="L116" t="str">
        <f>TEXT(D116,"mmm")</f>
        <v>Jan</v>
      </c>
      <c r="M116" t="str">
        <f>TEXT(D116,"ddd")</f>
        <v>Fri</v>
      </c>
      <c r="N116">
        <f>DATEDIF(D116, E116, "d")</f>
        <v>5</v>
      </c>
      <c r="O116">
        <f>ROUND(Table1[[#This Row],[Unit Price]]*Table1[[#This Row],[Quantity]]*VLOOKUP(C116,Table2[#All],2,FALSE),0)</f>
        <v>3876</v>
      </c>
      <c r="P116">
        <f>ROUND(F116*G116,0)</f>
        <v>5168</v>
      </c>
      <c r="Q116">
        <f>ROUND((G116*F116)-O116,0)</f>
        <v>1292</v>
      </c>
    </row>
    <row r="117" spans="1:17">
      <c r="A117" t="s">
        <v>74</v>
      </c>
      <c r="B117" t="s">
        <v>20</v>
      </c>
      <c r="C117" t="s">
        <v>53</v>
      </c>
      <c r="D117" s="1">
        <v>45804</v>
      </c>
      <c r="E117" s="1">
        <v>45812</v>
      </c>
      <c r="F117">
        <v>10</v>
      </c>
      <c r="G117">
        <v>723</v>
      </c>
      <c r="H117" t="s">
        <v>27</v>
      </c>
      <c r="I117" t="s">
        <v>548</v>
      </c>
      <c r="J117" t="s">
        <v>28</v>
      </c>
      <c r="K117">
        <f>YEAR(D117)</f>
        <v>2025</v>
      </c>
      <c r="L117" t="str">
        <f>TEXT(D117,"mmm")</f>
        <v>May</v>
      </c>
      <c r="M117" t="str">
        <f>TEXT(D117,"ddd")</f>
        <v>Tue</v>
      </c>
      <c r="N117">
        <f>DATEDIF(D117, E117, "d")</f>
        <v>8</v>
      </c>
      <c r="O117">
        <f>ROUND(Table1[[#This Row],[Unit Price]]*Table1[[#This Row],[Quantity]]*VLOOKUP(C117,Table2[#All],2,FALSE),0)</f>
        <v>5061</v>
      </c>
      <c r="P117">
        <f>ROUND(F117*G117,0)</f>
        <v>7230</v>
      </c>
      <c r="Q117">
        <f>ROUND((G117*F117)-O117,0)</f>
        <v>2169</v>
      </c>
    </row>
    <row r="118" spans="1:17">
      <c r="A118" t="s">
        <v>238</v>
      </c>
      <c r="B118" t="s">
        <v>23</v>
      </c>
      <c r="C118" t="s">
        <v>99</v>
      </c>
      <c r="D118" s="1">
        <v>45395</v>
      </c>
      <c r="E118" s="1">
        <v>45408</v>
      </c>
      <c r="F118">
        <v>9</v>
      </c>
      <c r="G118">
        <v>287</v>
      </c>
      <c r="H118" t="s">
        <v>13</v>
      </c>
      <c r="I118" t="s">
        <v>32</v>
      </c>
      <c r="J118" t="s">
        <v>18</v>
      </c>
      <c r="K118">
        <f>YEAR(D118)</f>
        <v>2024</v>
      </c>
      <c r="L118" t="str">
        <f>TEXT(D118,"mmm")</f>
        <v>Apr</v>
      </c>
      <c r="M118" t="str">
        <f>TEXT(D118,"ddd")</f>
        <v>Sat</v>
      </c>
      <c r="N118">
        <f>DATEDIF(D118, E118, "d")</f>
        <v>13</v>
      </c>
      <c r="O118">
        <f>ROUND(Table1[[#This Row],[Unit Price]]*Table1[[#This Row],[Quantity]]*VLOOKUP(C118,Table2[#All],2,FALSE),0)</f>
        <v>1550</v>
      </c>
      <c r="P118">
        <f>ROUND(F118*G118,0)</f>
        <v>2583</v>
      </c>
      <c r="Q118">
        <f>ROUND((G118*F118)-O118,0)</f>
        <v>1033</v>
      </c>
    </row>
    <row r="119" spans="1:17">
      <c r="A119" t="s">
        <v>487</v>
      </c>
      <c r="B119" t="s">
        <v>20</v>
      </c>
      <c r="C119" t="s">
        <v>21</v>
      </c>
      <c r="D119" s="1">
        <v>45874</v>
      </c>
      <c r="E119" s="1">
        <v>45880</v>
      </c>
      <c r="F119">
        <v>3</v>
      </c>
      <c r="G119">
        <v>262</v>
      </c>
      <c r="H119" t="s">
        <v>27</v>
      </c>
      <c r="I119" t="s">
        <v>32</v>
      </c>
      <c r="J119" t="s">
        <v>28</v>
      </c>
      <c r="K119">
        <f>YEAR(D119)</f>
        <v>2025</v>
      </c>
      <c r="L119" t="str">
        <f>TEXT(D119,"mmm")</f>
        <v>Aug</v>
      </c>
      <c r="M119" t="str">
        <f>TEXT(D119,"ddd")</f>
        <v>Tue</v>
      </c>
      <c r="N119">
        <f>DATEDIF(D119, E119, "d")</f>
        <v>6</v>
      </c>
      <c r="O119">
        <f>ROUND(Table1[[#This Row],[Unit Price]]*Table1[[#This Row],[Quantity]]*VLOOKUP(C119,Table2[#All],2,FALSE),0)</f>
        <v>590</v>
      </c>
      <c r="P119">
        <f>ROUND(F119*G119,0)</f>
        <v>786</v>
      </c>
      <c r="Q119">
        <f>ROUND((G119*F119)-O119,0)</f>
        <v>196</v>
      </c>
    </row>
    <row r="120" spans="1:17">
      <c r="A120" t="s">
        <v>111</v>
      </c>
      <c r="B120" t="s">
        <v>23</v>
      </c>
      <c r="C120" t="s">
        <v>37</v>
      </c>
      <c r="D120" s="1">
        <v>45393</v>
      </c>
      <c r="E120" s="1">
        <v>45406</v>
      </c>
      <c r="F120">
        <v>2</v>
      </c>
      <c r="G120">
        <v>616</v>
      </c>
      <c r="H120" t="s">
        <v>13</v>
      </c>
      <c r="I120" t="s">
        <v>32</v>
      </c>
      <c r="J120" t="s">
        <v>14</v>
      </c>
      <c r="K120">
        <f>YEAR(D120)</f>
        <v>2024</v>
      </c>
      <c r="L120" t="str">
        <f>TEXT(D120,"mmm")</f>
        <v>Apr</v>
      </c>
      <c r="M120" t="str">
        <f>TEXT(D120,"ddd")</f>
        <v>Thu</v>
      </c>
      <c r="N120">
        <f>DATEDIF(D120, E120, "d")</f>
        <v>13</v>
      </c>
      <c r="O120">
        <f>ROUND(Table1[[#This Row],[Unit Price]]*Table1[[#This Row],[Quantity]]*VLOOKUP(C120,Table2[#All],2,FALSE),0)</f>
        <v>616</v>
      </c>
      <c r="P120">
        <f>ROUND(F120*G120,0)</f>
        <v>1232</v>
      </c>
      <c r="Q120">
        <f>ROUND((G120*F120)-O120,0)</f>
        <v>616</v>
      </c>
    </row>
    <row r="121" spans="1:17">
      <c r="A121" t="s">
        <v>253</v>
      </c>
      <c r="B121" t="s">
        <v>16</v>
      </c>
      <c r="C121" t="s">
        <v>43</v>
      </c>
      <c r="D121" s="1">
        <v>45351</v>
      </c>
      <c r="E121" s="1">
        <v>45359</v>
      </c>
      <c r="F121">
        <v>4</v>
      </c>
      <c r="G121">
        <v>744</v>
      </c>
      <c r="H121" t="s">
        <v>13</v>
      </c>
      <c r="I121" t="s">
        <v>32</v>
      </c>
      <c r="J121" t="s">
        <v>18</v>
      </c>
      <c r="K121">
        <f>YEAR(D121)</f>
        <v>2024</v>
      </c>
      <c r="L121" t="str">
        <f>TEXT(D121,"mmm")</f>
        <v>Feb</v>
      </c>
      <c r="M121" t="str">
        <f>TEXT(D121,"ddd")</f>
        <v>Thu</v>
      </c>
      <c r="N121">
        <f>DATEDIF(D121, E121, "d")</f>
        <v>8</v>
      </c>
      <c r="O121">
        <f>ROUND(Table1[[#This Row],[Unit Price]]*Table1[[#This Row],[Quantity]]*VLOOKUP(C121,Table2[#All],2,FALSE),0)</f>
        <v>1786</v>
      </c>
      <c r="P121">
        <f>ROUND(F121*G121,0)</f>
        <v>2976</v>
      </c>
      <c r="Q121">
        <f>ROUND((G121*F121)-O121,0)</f>
        <v>1190</v>
      </c>
    </row>
    <row r="122" spans="1:17">
      <c r="A122" t="s">
        <v>232</v>
      </c>
      <c r="B122" t="s">
        <v>23</v>
      </c>
      <c r="C122" t="s">
        <v>99</v>
      </c>
      <c r="D122" s="1">
        <v>45560</v>
      </c>
      <c r="E122" s="1">
        <v>45572</v>
      </c>
      <c r="F122">
        <v>10</v>
      </c>
      <c r="G122">
        <v>803</v>
      </c>
      <c r="H122" t="s">
        <v>13</v>
      </c>
      <c r="I122" t="s">
        <v>548</v>
      </c>
      <c r="J122" t="s">
        <v>45</v>
      </c>
      <c r="K122">
        <f>YEAR(D122)</f>
        <v>2024</v>
      </c>
      <c r="L122" t="str">
        <f>TEXT(D122,"mmm")</f>
        <v>Sep</v>
      </c>
      <c r="M122" t="str">
        <f>TEXT(D122,"ddd")</f>
        <v>Wed</v>
      </c>
      <c r="N122">
        <f>DATEDIF(D122, E122, "d")</f>
        <v>12</v>
      </c>
      <c r="O122">
        <f>ROUND(Table1[[#This Row],[Unit Price]]*Table1[[#This Row],[Quantity]]*VLOOKUP(C122,Table2[#All],2,FALSE),0)</f>
        <v>4818</v>
      </c>
      <c r="P122">
        <f>ROUND(F122*G122,0)</f>
        <v>8030</v>
      </c>
      <c r="Q122">
        <f>ROUND((G122*F122)-O122,0)</f>
        <v>3212</v>
      </c>
    </row>
    <row r="123" spans="1:17">
      <c r="A123" t="s">
        <v>341</v>
      </c>
      <c r="B123" t="s">
        <v>11</v>
      </c>
      <c r="C123" t="s">
        <v>57</v>
      </c>
      <c r="D123" s="1">
        <v>45646</v>
      </c>
      <c r="E123" s="1">
        <v>45657</v>
      </c>
      <c r="F123">
        <v>5</v>
      </c>
      <c r="G123">
        <v>105</v>
      </c>
      <c r="H123" t="s">
        <v>27</v>
      </c>
      <c r="I123" t="s">
        <v>547</v>
      </c>
      <c r="J123" t="s">
        <v>28</v>
      </c>
      <c r="K123">
        <f>YEAR(D123)</f>
        <v>2024</v>
      </c>
      <c r="L123" t="str">
        <f>TEXT(D123,"mmm")</f>
        <v>Dec</v>
      </c>
      <c r="M123" t="str">
        <f>TEXT(D123,"ddd")</f>
        <v>Fri</v>
      </c>
      <c r="N123">
        <f>DATEDIF(D123, E123, "d")</f>
        <v>11</v>
      </c>
      <c r="O123">
        <f>ROUND(Table1[[#This Row],[Unit Price]]*Table1[[#This Row],[Quantity]]*VLOOKUP(C123,Table2[#All],2,FALSE),0)</f>
        <v>446</v>
      </c>
      <c r="P123">
        <f>ROUND(F123*G123,0)</f>
        <v>525</v>
      </c>
      <c r="Q123">
        <f>ROUND((G123*F123)-O123,0)</f>
        <v>79</v>
      </c>
    </row>
    <row r="124" spans="1:17">
      <c r="A124" t="s">
        <v>445</v>
      </c>
      <c r="B124" t="s">
        <v>20</v>
      </c>
      <c r="C124" t="s">
        <v>21</v>
      </c>
      <c r="D124" s="1">
        <v>45939</v>
      </c>
      <c r="E124" s="1">
        <v>45949</v>
      </c>
      <c r="F124">
        <v>5</v>
      </c>
      <c r="G124">
        <v>644</v>
      </c>
      <c r="H124" t="s">
        <v>13</v>
      </c>
      <c r="I124" t="s">
        <v>32</v>
      </c>
      <c r="J124" t="s">
        <v>28</v>
      </c>
      <c r="K124">
        <f>YEAR(D124)</f>
        <v>2025</v>
      </c>
      <c r="L124" t="str">
        <f>TEXT(D124,"mmm")</f>
        <v>Oct</v>
      </c>
      <c r="M124" t="str">
        <f>TEXT(D124,"ddd")</f>
        <v>Thu</v>
      </c>
      <c r="N124">
        <f>DATEDIF(D124, E124, "d")</f>
        <v>10</v>
      </c>
      <c r="O124">
        <f>ROUND(Table1[[#This Row],[Unit Price]]*Table1[[#This Row],[Quantity]]*VLOOKUP(C124,Table2[#All],2,FALSE),0)</f>
        <v>2415</v>
      </c>
      <c r="P124">
        <f>ROUND(F124*G124,0)</f>
        <v>3220</v>
      </c>
      <c r="Q124">
        <f>ROUND((G124*F124)-O124,0)</f>
        <v>805</v>
      </c>
    </row>
    <row r="125" spans="1:17">
      <c r="A125" t="s">
        <v>297</v>
      </c>
      <c r="B125" t="s">
        <v>11</v>
      </c>
      <c r="C125" t="s">
        <v>26</v>
      </c>
      <c r="D125" s="1">
        <v>45648</v>
      </c>
      <c r="E125" s="1">
        <v>45656</v>
      </c>
      <c r="F125">
        <v>8</v>
      </c>
      <c r="G125">
        <v>336</v>
      </c>
      <c r="H125" t="s">
        <v>13</v>
      </c>
      <c r="I125" t="s">
        <v>547</v>
      </c>
      <c r="J125" t="s">
        <v>18</v>
      </c>
      <c r="K125">
        <f>YEAR(D125)</f>
        <v>2024</v>
      </c>
      <c r="L125" t="str">
        <f>TEXT(D125,"mmm")</f>
        <v>Dec</v>
      </c>
      <c r="M125" t="str">
        <f>TEXT(D125,"ddd")</f>
        <v>Sun</v>
      </c>
      <c r="N125">
        <f>DATEDIF(D125, E125, "d")</f>
        <v>8</v>
      </c>
      <c r="O125">
        <f>ROUND(Table1[[#This Row],[Unit Price]]*Table1[[#This Row],[Quantity]]*VLOOKUP(C125,Table2[#All],2,FALSE),0)</f>
        <v>1747</v>
      </c>
      <c r="P125">
        <f>ROUND(F125*G125,0)</f>
        <v>2688</v>
      </c>
      <c r="Q125">
        <f>ROUND((G125*F125)-O125,0)</f>
        <v>941</v>
      </c>
    </row>
    <row r="126" spans="1:17">
      <c r="A126" t="s">
        <v>473</v>
      </c>
      <c r="B126" t="s">
        <v>16</v>
      </c>
      <c r="C126" t="s">
        <v>63</v>
      </c>
      <c r="D126" s="1">
        <v>45773</v>
      </c>
      <c r="E126" s="1">
        <v>45787</v>
      </c>
      <c r="F126">
        <v>1</v>
      </c>
      <c r="G126">
        <v>320</v>
      </c>
      <c r="H126" t="s">
        <v>27</v>
      </c>
      <c r="I126" t="s">
        <v>550</v>
      </c>
      <c r="J126" t="s">
        <v>14</v>
      </c>
      <c r="K126">
        <f>YEAR(D126)</f>
        <v>2025</v>
      </c>
      <c r="L126" t="str">
        <f>TEXT(D126,"mmm")</f>
        <v>Apr</v>
      </c>
      <c r="M126" t="str">
        <f>TEXT(D126,"ddd")</f>
        <v>Sat</v>
      </c>
      <c r="N126">
        <f>DATEDIF(D126, E126, "d")</f>
        <v>14</v>
      </c>
      <c r="O126">
        <f>ROUND(Table1[[#This Row],[Unit Price]]*Table1[[#This Row],[Quantity]]*VLOOKUP(C126,Table2[#All],2,FALSE),0)</f>
        <v>160</v>
      </c>
      <c r="P126">
        <f>ROUND(F126*G126,0)</f>
        <v>320</v>
      </c>
      <c r="Q126">
        <f>ROUND((G126*F126)-O126,0)</f>
        <v>160</v>
      </c>
    </row>
    <row r="127" spans="1:17">
      <c r="A127" t="s">
        <v>363</v>
      </c>
      <c r="B127" t="s">
        <v>16</v>
      </c>
      <c r="C127" t="s">
        <v>63</v>
      </c>
      <c r="D127" s="1">
        <v>45725</v>
      </c>
      <c r="E127" s="1">
        <v>45730</v>
      </c>
      <c r="F127">
        <v>4</v>
      </c>
      <c r="G127">
        <v>49</v>
      </c>
      <c r="H127" t="s">
        <v>27</v>
      </c>
      <c r="I127" t="s">
        <v>546</v>
      </c>
      <c r="J127" t="s">
        <v>18</v>
      </c>
      <c r="K127">
        <f>YEAR(D127)</f>
        <v>2025</v>
      </c>
      <c r="L127" t="str">
        <f>TEXT(D127,"mmm")</f>
        <v>Mar</v>
      </c>
      <c r="M127" t="str">
        <f>TEXT(D127,"ddd")</f>
        <v>Sun</v>
      </c>
      <c r="N127">
        <f>DATEDIF(D127, E127, "d")</f>
        <v>5</v>
      </c>
      <c r="O127">
        <f>ROUND(Table1[[#This Row],[Unit Price]]*Table1[[#This Row],[Quantity]]*VLOOKUP(C127,Table2[#All],2,FALSE),0)</f>
        <v>98</v>
      </c>
      <c r="P127">
        <f>ROUND(F127*G127,0)</f>
        <v>196</v>
      </c>
      <c r="Q127">
        <f>ROUND((G127*F127)-O127,0)</f>
        <v>98</v>
      </c>
    </row>
    <row r="128" spans="1:17">
      <c r="A128" t="s">
        <v>91</v>
      </c>
      <c r="B128" t="s">
        <v>20</v>
      </c>
      <c r="C128" t="s">
        <v>82</v>
      </c>
      <c r="D128" s="1">
        <v>45512</v>
      </c>
      <c r="E128" s="1">
        <v>45519</v>
      </c>
      <c r="F128">
        <v>2</v>
      </c>
      <c r="G128">
        <v>981</v>
      </c>
      <c r="H128" t="s">
        <v>27</v>
      </c>
      <c r="I128" t="s">
        <v>32</v>
      </c>
      <c r="J128" t="s">
        <v>18</v>
      </c>
      <c r="K128">
        <f>YEAR(D128)</f>
        <v>2024</v>
      </c>
      <c r="L128" t="str">
        <f>TEXT(D128,"mmm")</f>
        <v>Aug</v>
      </c>
      <c r="M128" t="str">
        <f>TEXT(D128,"ddd")</f>
        <v>Thu</v>
      </c>
      <c r="N128">
        <f>DATEDIF(D128, E128, "d")</f>
        <v>7</v>
      </c>
      <c r="O128">
        <f>ROUND(Table1[[#This Row],[Unit Price]]*Table1[[#This Row],[Quantity]]*VLOOKUP(C128,Table2[#All],2,FALSE),0)</f>
        <v>1570</v>
      </c>
      <c r="P128">
        <f>ROUND(F128*G128,0)</f>
        <v>1962</v>
      </c>
      <c r="Q128">
        <f>ROUND((G128*F128)-O128,0)</f>
        <v>392</v>
      </c>
    </row>
    <row r="129" spans="1:17">
      <c r="A129" t="s">
        <v>91</v>
      </c>
      <c r="B129" t="s">
        <v>16</v>
      </c>
      <c r="C129" t="s">
        <v>55</v>
      </c>
      <c r="D129" s="1">
        <v>45905</v>
      </c>
      <c r="E129" s="1">
        <v>45915</v>
      </c>
      <c r="F129">
        <v>6</v>
      </c>
      <c r="G129">
        <v>914</v>
      </c>
      <c r="H129" t="s">
        <v>13</v>
      </c>
      <c r="I129" t="s">
        <v>550</v>
      </c>
      <c r="J129" t="s">
        <v>45</v>
      </c>
      <c r="K129">
        <f>YEAR(D129)</f>
        <v>2025</v>
      </c>
      <c r="L129" t="str">
        <f>TEXT(D129,"mmm")</f>
        <v>Sep</v>
      </c>
      <c r="M129" t="str">
        <f>TEXT(D129,"ddd")</f>
        <v>Fri</v>
      </c>
      <c r="N129">
        <f>DATEDIF(D129, E129, "d")</f>
        <v>10</v>
      </c>
      <c r="O129">
        <f>ROUND(Table1[[#This Row],[Unit Price]]*Table1[[#This Row],[Quantity]]*VLOOKUP(C129,Table2[#All],2,FALSE),0)</f>
        <v>3016</v>
      </c>
      <c r="P129">
        <f>ROUND(F129*G129,0)</f>
        <v>5484</v>
      </c>
      <c r="Q129">
        <f>ROUND((G129*F129)-O129,0)</f>
        <v>2468</v>
      </c>
    </row>
    <row r="130" spans="1:17">
      <c r="A130" t="s">
        <v>237</v>
      </c>
      <c r="B130" t="s">
        <v>11</v>
      </c>
      <c r="C130" t="s">
        <v>95</v>
      </c>
      <c r="D130" s="1">
        <v>45657</v>
      </c>
      <c r="E130" s="1">
        <v>45671</v>
      </c>
      <c r="F130">
        <v>2</v>
      </c>
      <c r="G130">
        <v>364</v>
      </c>
      <c r="H130" t="s">
        <v>27</v>
      </c>
      <c r="I130" t="s">
        <v>549</v>
      </c>
      <c r="J130" t="s">
        <v>28</v>
      </c>
      <c r="K130">
        <f>YEAR(D130)</f>
        <v>2024</v>
      </c>
      <c r="L130" t="str">
        <f>TEXT(D130,"mmm")</f>
        <v>Dec</v>
      </c>
      <c r="M130" t="str">
        <f>TEXT(D130,"ddd")</f>
        <v>Tue</v>
      </c>
      <c r="N130">
        <f>DATEDIF(D130, E130, "d")</f>
        <v>14</v>
      </c>
      <c r="O130">
        <f>ROUND(Table1[[#This Row],[Unit Price]]*Table1[[#This Row],[Quantity]]*VLOOKUP(C130,Table2[#All],2,FALSE),0)</f>
        <v>510</v>
      </c>
      <c r="P130">
        <f>ROUND(F130*G130,0)</f>
        <v>728</v>
      </c>
      <c r="Q130">
        <f>ROUND((G130*F130)-O130,0)</f>
        <v>218</v>
      </c>
    </row>
    <row r="131" spans="1:17">
      <c r="A131" t="s">
        <v>354</v>
      </c>
      <c r="B131" t="s">
        <v>30</v>
      </c>
      <c r="C131" t="s">
        <v>41</v>
      </c>
      <c r="D131" s="1">
        <v>45811</v>
      </c>
      <c r="E131" s="1">
        <v>45819</v>
      </c>
      <c r="F131">
        <v>9</v>
      </c>
      <c r="G131">
        <v>692</v>
      </c>
      <c r="H131" t="s">
        <v>27</v>
      </c>
      <c r="I131" t="s">
        <v>548</v>
      </c>
      <c r="J131" t="s">
        <v>45</v>
      </c>
      <c r="K131">
        <f>YEAR(D131)</f>
        <v>2025</v>
      </c>
      <c r="L131" t="str">
        <f>TEXT(D131,"mmm")</f>
        <v>Jun</v>
      </c>
      <c r="M131" t="str">
        <f>TEXT(D131,"ddd")</f>
        <v>Tue</v>
      </c>
      <c r="N131">
        <f>DATEDIF(D131, E131, "d")</f>
        <v>8</v>
      </c>
      <c r="O131">
        <f>ROUND(Table1[[#This Row],[Unit Price]]*Table1[[#This Row],[Quantity]]*VLOOKUP(C131,Table2[#All],2,FALSE),0)</f>
        <v>4048</v>
      </c>
      <c r="P131">
        <f>ROUND(F131*G131,0)</f>
        <v>6228</v>
      </c>
      <c r="Q131">
        <f>ROUND((G131*F131)-O131,0)</f>
        <v>2180</v>
      </c>
    </row>
    <row r="132" spans="1:17">
      <c r="A132" t="s">
        <v>46</v>
      </c>
      <c r="B132" t="s">
        <v>11</v>
      </c>
      <c r="C132" t="s">
        <v>26</v>
      </c>
      <c r="D132" s="1">
        <v>45487</v>
      </c>
      <c r="E132" s="1">
        <v>45501</v>
      </c>
      <c r="F132">
        <v>10</v>
      </c>
      <c r="G132">
        <v>489</v>
      </c>
      <c r="H132" t="s">
        <v>27</v>
      </c>
      <c r="I132" t="s">
        <v>32</v>
      </c>
      <c r="J132" t="s">
        <v>28</v>
      </c>
      <c r="K132">
        <f>YEAR(D132)</f>
        <v>2024</v>
      </c>
      <c r="L132" t="str">
        <f>TEXT(D132,"mmm")</f>
        <v>Jul</v>
      </c>
      <c r="M132" t="str">
        <f>TEXT(D132,"ddd")</f>
        <v>Sun</v>
      </c>
      <c r="N132">
        <f>DATEDIF(D132, E132, "d")</f>
        <v>14</v>
      </c>
      <c r="O132">
        <f>ROUND(Table1[[#This Row],[Unit Price]]*Table1[[#This Row],[Quantity]]*VLOOKUP(C132,Table2[#All],2,FALSE),0)</f>
        <v>3179</v>
      </c>
      <c r="P132">
        <f>ROUND(F132*G132,0)</f>
        <v>4890</v>
      </c>
      <c r="Q132">
        <f>ROUND((G132*F132)-O132,0)</f>
        <v>1711</v>
      </c>
    </row>
    <row r="133" spans="1:17">
      <c r="A133" t="s">
        <v>46</v>
      </c>
      <c r="B133" t="s">
        <v>30</v>
      </c>
      <c r="C133" t="s">
        <v>49</v>
      </c>
      <c r="D133" s="1">
        <v>45660</v>
      </c>
      <c r="E133" s="1">
        <v>45669</v>
      </c>
      <c r="F133">
        <v>1</v>
      </c>
      <c r="G133">
        <v>669</v>
      </c>
      <c r="H133" t="s">
        <v>13</v>
      </c>
      <c r="I133" t="s">
        <v>550</v>
      </c>
      <c r="J133" t="s">
        <v>18</v>
      </c>
      <c r="K133">
        <f>YEAR(D133)</f>
        <v>2025</v>
      </c>
      <c r="L133" t="str">
        <f>TEXT(D133,"mmm")</f>
        <v>Jan</v>
      </c>
      <c r="M133" t="str">
        <f>TEXT(D133,"ddd")</f>
        <v>Fri</v>
      </c>
      <c r="N133">
        <f>DATEDIF(D133, E133, "d")</f>
        <v>9</v>
      </c>
      <c r="O133">
        <f>ROUND(Table1[[#This Row],[Unit Price]]*Table1[[#This Row],[Quantity]]*VLOOKUP(C133,Table2[#All],2,FALSE),0)</f>
        <v>468</v>
      </c>
      <c r="P133">
        <f>ROUND(F133*G133,0)</f>
        <v>669</v>
      </c>
      <c r="Q133">
        <f>ROUND((G133*F133)-O133,0)</f>
        <v>201</v>
      </c>
    </row>
    <row r="134" spans="1:17">
      <c r="A134" t="s">
        <v>346</v>
      </c>
      <c r="B134" t="s">
        <v>16</v>
      </c>
      <c r="C134" t="s">
        <v>17</v>
      </c>
      <c r="D134" s="1">
        <v>45638</v>
      </c>
      <c r="E134" s="1">
        <v>45651</v>
      </c>
      <c r="F134">
        <v>5</v>
      </c>
      <c r="G134">
        <v>276</v>
      </c>
      <c r="H134" t="s">
        <v>13</v>
      </c>
      <c r="I134" t="s">
        <v>548</v>
      </c>
      <c r="J134" t="s">
        <v>45</v>
      </c>
      <c r="K134">
        <f>YEAR(D134)</f>
        <v>2024</v>
      </c>
      <c r="L134" t="str">
        <f>TEXT(D134,"mmm")</f>
        <v>Dec</v>
      </c>
      <c r="M134" t="str">
        <f>TEXT(D134,"ddd")</f>
        <v>Thu</v>
      </c>
      <c r="N134">
        <f>DATEDIF(D134, E134, "d")</f>
        <v>13</v>
      </c>
      <c r="O134">
        <f>ROUND(Table1[[#This Row],[Unit Price]]*Table1[[#This Row],[Quantity]]*VLOOKUP(C134,Table2[#All],2,FALSE),0)</f>
        <v>690</v>
      </c>
      <c r="P134">
        <f>ROUND(F134*G134,0)</f>
        <v>1380</v>
      </c>
      <c r="Q134">
        <f>ROUND((G134*F134)-O134,0)</f>
        <v>690</v>
      </c>
    </row>
    <row r="135" spans="1:17">
      <c r="A135" t="s">
        <v>96</v>
      </c>
      <c r="B135" t="s">
        <v>16</v>
      </c>
      <c r="C135" t="s">
        <v>17</v>
      </c>
      <c r="D135" s="1">
        <v>45525</v>
      </c>
      <c r="E135" s="1">
        <v>45536</v>
      </c>
      <c r="F135">
        <v>7</v>
      </c>
      <c r="G135">
        <v>917</v>
      </c>
      <c r="H135" t="s">
        <v>13</v>
      </c>
      <c r="I135" t="s">
        <v>32</v>
      </c>
      <c r="J135" t="s">
        <v>14</v>
      </c>
      <c r="K135">
        <f>YEAR(D135)</f>
        <v>2024</v>
      </c>
      <c r="L135" t="str">
        <f>TEXT(D135,"mmm")</f>
        <v>Aug</v>
      </c>
      <c r="M135" t="str">
        <f>TEXT(D135,"ddd")</f>
        <v>Wed</v>
      </c>
      <c r="N135">
        <f>DATEDIF(D135, E135, "d")</f>
        <v>11</v>
      </c>
      <c r="O135">
        <f>ROUND(Table1[[#This Row],[Unit Price]]*Table1[[#This Row],[Quantity]]*VLOOKUP(C135,Table2[#All],2,FALSE),0)</f>
        <v>3210</v>
      </c>
      <c r="P135">
        <f>ROUND(F135*G135,0)</f>
        <v>6419</v>
      </c>
      <c r="Q135">
        <f>ROUND((G135*F135)-O135,0)</f>
        <v>3209</v>
      </c>
    </row>
    <row r="136" spans="1:17">
      <c r="A136" t="s">
        <v>96</v>
      </c>
      <c r="B136" t="s">
        <v>30</v>
      </c>
      <c r="C136" t="s">
        <v>49</v>
      </c>
      <c r="D136" s="1">
        <v>45706</v>
      </c>
      <c r="E136" s="1">
        <v>45712</v>
      </c>
      <c r="F136">
        <v>8</v>
      </c>
      <c r="G136">
        <v>745</v>
      </c>
      <c r="H136" t="s">
        <v>27</v>
      </c>
      <c r="I136" t="s">
        <v>32</v>
      </c>
      <c r="J136" t="s">
        <v>28</v>
      </c>
      <c r="K136">
        <f>YEAR(D136)</f>
        <v>2025</v>
      </c>
      <c r="L136" t="str">
        <f>TEXT(D136,"mmm")</f>
        <v>Feb</v>
      </c>
      <c r="M136" t="str">
        <f>TEXT(D136,"ddd")</f>
        <v>Tue</v>
      </c>
      <c r="N136">
        <f>DATEDIF(D136, E136, "d")</f>
        <v>6</v>
      </c>
      <c r="O136">
        <f>ROUND(Table1[[#This Row],[Unit Price]]*Table1[[#This Row],[Quantity]]*VLOOKUP(C136,Table2[#All],2,FALSE),0)</f>
        <v>4172</v>
      </c>
      <c r="P136">
        <f>ROUND(F136*G136,0)</f>
        <v>5960</v>
      </c>
      <c r="Q136">
        <f>ROUND((G136*F136)-O136,0)</f>
        <v>1788</v>
      </c>
    </row>
    <row r="137" spans="1:17">
      <c r="A137" t="s">
        <v>118</v>
      </c>
      <c r="B137" t="s">
        <v>16</v>
      </c>
      <c r="C137" t="s">
        <v>55</v>
      </c>
      <c r="D137" s="1">
        <v>45472</v>
      </c>
      <c r="E137" s="1">
        <v>45486</v>
      </c>
      <c r="F137">
        <v>8</v>
      </c>
      <c r="G137">
        <v>287</v>
      </c>
      <c r="H137" t="s">
        <v>13</v>
      </c>
      <c r="I137" t="s">
        <v>546</v>
      </c>
      <c r="J137" t="s">
        <v>28</v>
      </c>
      <c r="K137">
        <f>YEAR(D137)</f>
        <v>2024</v>
      </c>
      <c r="L137" t="str">
        <f>TEXT(D137,"mmm")</f>
        <v>Jun</v>
      </c>
      <c r="M137" t="str">
        <f>TEXT(D137,"ddd")</f>
        <v>Sat</v>
      </c>
      <c r="N137">
        <f>DATEDIF(D137, E137, "d")</f>
        <v>14</v>
      </c>
      <c r="O137">
        <f>ROUND(Table1[[#This Row],[Unit Price]]*Table1[[#This Row],[Quantity]]*VLOOKUP(C137,Table2[#All],2,FALSE),0)</f>
        <v>1263</v>
      </c>
      <c r="P137">
        <f>ROUND(F137*G137,0)</f>
        <v>2296</v>
      </c>
      <c r="Q137">
        <f>ROUND((G137*F137)-O137,0)</f>
        <v>1033</v>
      </c>
    </row>
    <row r="138" spans="1:17">
      <c r="A138" t="s">
        <v>496</v>
      </c>
      <c r="B138" t="s">
        <v>11</v>
      </c>
      <c r="C138" t="s">
        <v>57</v>
      </c>
      <c r="D138" s="1">
        <v>45871</v>
      </c>
      <c r="E138" s="1">
        <v>45877</v>
      </c>
      <c r="F138">
        <v>2</v>
      </c>
      <c r="G138">
        <v>315</v>
      </c>
      <c r="H138" t="s">
        <v>13</v>
      </c>
      <c r="I138" t="s">
        <v>32</v>
      </c>
      <c r="J138" t="s">
        <v>45</v>
      </c>
      <c r="K138">
        <f>YEAR(D138)</f>
        <v>2025</v>
      </c>
      <c r="L138" t="str">
        <f>TEXT(D138,"mmm")</f>
        <v>Aug</v>
      </c>
      <c r="M138" t="str">
        <f>TEXT(D138,"ddd")</f>
        <v>Sat</v>
      </c>
      <c r="N138">
        <f>DATEDIF(D138, E138, "d")</f>
        <v>6</v>
      </c>
      <c r="O138">
        <f>ROUND(Table1[[#This Row],[Unit Price]]*Table1[[#This Row],[Quantity]]*VLOOKUP(C138,Table2[#All],2,FALSE),0)</f>
        <v>536</v>
      </c>
      <c r="P138">
        <f>ROUND(F138*G138,0)</f>
        <v>630</v>
      </c>
      <c r="Q138">
        <f>ROUND((G138*F138)-O138,0)</f>
        <v>94</v>
      </c>
    </row>
    <row r="139" spans="1:17">
      <c r="A139" t="s">
        <v>376</v>
      </c>
      <c r="B139" t="s">
        <v>20</v>
      </c>
      <c r="C139" t="s">
        <v>39</v>
      </c>
      <c r="D139" s="1">
        <v>46003</v>
      </c>
      <c r="E139" s="1">
        <v>46004</v>
      </c>
      <c r="F139">
        <v>5</v>
      </c>
      <c r="G139">
        <v>465</v>
      </c>
      <c r="H139" t="s">
        <v>13</v>
      </c>
      <c r="I139" t="s">
        <v>32</v>
      </c>
      <c r="J139" t="s">
        <v>14</v>
      </c>
      <c r="K139">
        <f>YEAR(D139)</f>
        <v>2025</v>
      </c>
      <c r="L139" t="str">
        <f>TEXT(D139,"mmm")</f>
        <v>Dec</v>
      </c>
      <c r="M139" t="str">
        <f>TEXT(D139,"ddd")</f>
        <v>Fri</v>
      </c>
      <c r="N139">
        <f>DATEDIF(D139, E139, "d")</f>
        <v>1</v>
      </c>
      <c r="O139">
        <f>ROUND(Table1[[#This Row],[Unit Price]]*Table1[[#This Row],[Quantity]]*VLOOKUP(C139,Table2[#All],2,FALSE),0)</f>
        <v>1511</v>
      </c>
      <c r="P139">
        <f>ROUND(F139*G139,0)</f>
        <v>2325</v>
      </c>
      <c r="Q139">
        <f>ROUND((G139*F139)-O139,0)</f>
        <v>814</v>
      </c>
    </row>
    <row r="140" spans="1:17">
      <c r="A140" t="s">
        <v>541</v>
      </c>
      <c r="B140" t="s">
        <v>11</v>
      </c>
      <c r="C140" t="s">
        <v>26</v>
      </c>
      <c r="D140" s="1">
        <v>45757</v>
      </c>
      <c r="E140" s="1">
        <v>45764</v>
      </c>
      <c r="F140">
        <v>7</v>
      </c>
      <c r="G140">
        <v>390</v>
      </c>
      <c r="H140" t="s">
        <v>27</v>
      </c>
      <c r="I140" t="s">
        <v>546</v>
      </c>
      <c r="J140" t="s">
        <v>45</v>
      </c>
      <c r="K140">
        <f>YEAR(D140)</f>
        <v>2025</v>
      </c>
      <c r="L140" t="str">
        <f>TEXT(D140,"mmm")</f>
        <v>Apr</v>
      </c>
      <c r="M140" t="str">
        <f>TEXT(D140,"ddd")</f>
        <v>Thu</v>
      </c>
      <c r="N140">
        <f>DATEDIF(D140, E140, "d")</f>
        <v>7</v>
      </c>
      <c r="O140">
        <f>ROUND(Table1[[#This Row],[Unit Price]]*Table1[[#This Row],[Quantity]]*VLOOKUP(C140,Table2[#All],2,FALSE),0)</f>
        <v>1775</v>
      </c>
      <c r="P140">
        <f>ROUND(F140*G140,0)</f>
        <v>2730</v>
      </c>
      <c r="Q140">
        <f>ROUND((G140*F140)-O140,0)</f>
        <v>955</v>
      </c>
    </row>
    <row r="141" spans="1:17">
      <c r="A141" t="s">
        <v>338</v>
      </c>
      <c r="B141" t="s">
        <v>11</v>
      </c>
      <c r="C141" t="s">
        <v>35</v>
      </c>
      <c r="D141" s="1">
        <v>45482</v>
      </c>
      <c r="E141" s="1">
        <v>45488</v>
      </c>
      <c r="F141">
        <v>2</v>
      </c>
      <c r="G141">
        <v>524</v>
      </c>
      <c r="H141" t="s">
        <v>13</v>
      </c>
      <c r="I141" t="s">
        <v>551</v>
      </c>
      <c r="J141" t="s">
        <v>18</v>
      </c>
      <c r="K141">
        <f>YEAR(D141)</f>
        <v>2024</v>
      </c>
      <c r="L141" t="str">
        <f>TEXT(D141,"mmm")</f>
        <v>Jul</v>
      </c>
      <c r="M141" t="str">
        <f>TEXT(D141,"ddd")</f>
        <v>Tue</v>
      </c>
      <c r="N141">
        <f>DATEDIF(D141, E141, "d")</f>
        <v>6</v>
      </c>
      <c r="O141">
        <f>ROUND(Table1[[#This Row],[Unit Price]]*Table1[[#This Row],[Quantity]]*VLOOKUP(C141,Table2[#All],2,FALSE),0)</f>
        <v>838</v>
      </c>
      <c r="P141">
        <f>ROUND(F141*G141,0)</f>
        <v>1048</v>
      </c>
      <c r="Q141">
        <f>ROUND((G141*F141)-O141,0)</f>
        <v>210</v>
      </c>
    </row>
    <row r="142" spans="1:17">
      <c r="A142" t="s">
        <v>318</v>
      </c>
      <c r="B142" t="s">
        <v>11</v>
      </c>
      <c r="C142" t="s">
        <v>57</v>
      </c>
      <c r="D142" s="1">
        <v>45517</v>
      </c>
      <c r="E142" s="1">
        <v>45529</v>
      </c>
      <c r="F142">
        <v>8</v>
      </c>
      <c r="G142">
        <v>10</v>
      </c>
      <c r="H142" t="s">
        <v>27</v>
      </c>
      <c r="I142" t="s">
        <v>549</v>
      </c>
      <c r="J142" t="s">
        <v>18</v>
      </c>
      <c r="K142">
        <f>YEAR(D142)</f>
        <v>2024</v>
      </c>
      <c r="L142" t="str">
        <f>TEXT(D142,"mmm")</f>
        <v>Aug</v>
      </c>
      <c r="M142" t="str">
        <f>TEXT(D142,"ddd")</f>
        <v>Tue</v>
      </c>
      <c r="N142">
        <f>DATEDIF(D142, E142, "d")</f>
        <v>12</v>
      </c>
      <c r="O142">
        <f>ROUND(Table1[[#This Row],[Unit Price]]*Table1[[#This Row],[Quantity]]*VLOOKUP(C142,Table2[#All],2,FALSE),0)</f>
        <v>68</v>
      </c>
      <c r="P142">
        <f>ROUND(F142*G142,0)</f>
        <v>80</v>
      </c>
      <c r="Q142">
        <f>ROUND((G142*F142)-O142,0)</f>
        <v>12</v>
      </c>
    </row>
    <row r="143" spans="1:17">
      <c r="A143" t="s">
        <v>304</v>
      </c>
      <c r="B143" t="s">
        <v>20</v>
      </c>
      <c r="C143" t="s">
        <v>51</v>
      </c>
      <c r="D143" s="1">
        <v>45488</v>
      </c>
      <c r="E143" s="1">
        <v>45500</v>
      </c>
      <c r="F143">
        <v>7</v>
      </c>
      <c r="G143">
        <v>200</v>
      </c>
      <c r="H143" t="s">
        <v>27</v>
      </c>
      <c r="I143" t="s">
        <v>549</v>
      </c>
      <c r="J143" t="s">
        <v>45</v>
      </c>
      <c r="K143">
        <f>YEAR(D143)</f>
        <v>2024</v>
      </c>
      <c r="L143" t="str">
        <f>TEXT(D143,"mmm")</f>
        <v>Jul</v>
      </c>
      <c r="M143" t="str">
        <f>TEXT(D143,"ddd")</f>
        <v>Mon</v>
      </c>
      <c r="N143">
        <f>DATEDIF(D143, E143, "d")</f>
        <v>12</v>
      </c>
      <c r="O143">
        <f>ROUND(Table1[[#This Row],[Unit Price]]*Table1[[#This Row],[Quantity]]*VLOOKUP(C143,Table2[#All],2,FALSE),0)</f>
        <v>980</v>
      </c>
      <c r="P143">
        <f>ROUND(F143*G143,0)</f>
        <v>1400</v>
      </c>
      <c r="Q143">
        <f>ROUND((G143*F143)-O143,0)</f>
        <v>420</v>
      </c>
    </row>
    <row r="144" spans="1:17">
      <c r="A144" t="s">
        <v>252</v>
      </c>
      <c r="B144" t="s">
        <v>16</v>
      </c>
      <c r="C144" t="s">
        <v>43</v>
      </c>
      <c r="D144" s="1">
        <v>45562</v>
      </c>
      <c r="E144" s="1">
        <v>45572</v>
      </c>
      <c r="F144">
        <v>6</v>
      </c>
      <c r="G144">
        <v>89</v>
      </c>
      <c r="H144" t="s">
        <v>13</v>
      </c>
      <c r="I144" t="s">
        <v>32</v>
      </c>
      <c r="J144" t="s">
        <v>18</v>
      </c>
      <c r="K144">
        <f>YEAR(D144)</f>
        <v>2024</v>
      </c>
      <c r="L144" t="str">
        <f>TEXT(D144,"mmm")</f>
        <v>Sep</v>
      </c>
      <c r="M144" t="str">
        <f>TEXT(D144,"ddd")</f>
        <v>Fri</v>
      </c>
      <c r="N144">
        <f>DATEDIF(D144, E144, "d")</f>
        <v>10</v>
      </c>
      <c r="O144">
        <f>ROUND(Table1[[#This Row],[Unit Price]]*Table1[[#This Row],[Quantity]]*VLOOKUP(C144,Table2[#All],2,FALSE),0)</f>
        <v>320</v>
      </c>
      <c r="P144">
        <f>ROUND(F144*G144,0)</f>
        <v>534</v>
      </c>
      <c r="Q144">
        <f>ROUND((G144*F144)-O144,0)</f>
        <v>214</v>
      </c>
    </row>
    <row r="145" spans="1:17">
      <c r="A145" t="s">
        <v>201</v>
      </c>
      <c r="B145" t="s">
        <v>11</v>
      </c>
      <c r="C145" t="s">
        <v>12</v>
      </c>
      <c r="D145" s="1">
        <v>45547</v>
      </c>
      <c r="E145" s="1">
        <v>45558</v>
      </c>
      <c r="F145">
        <v>10</v>
      </c>
      <c r="G145">
        <v>558</v>
      </c>
      <c r="H145" t="s">
        <v>27</v>
      </c>
      <c r="I145" t="s">
        <v>550</v>
      </c>
      <c r="J145" t="s">
        <v>14</v>
      </c>
      <c r="K145">
        <f>YEAR(D145)</f>
        <v>2024</v>
      </c>
      <c r="L145" t="str">
        <f>TEXT(D145,"mmm")</f>
        <v>Sep</v>
      </c>
      <c r="M145" t="str">
        <f>TEXT(D145,"ddd")</f>
        <v>Thu</v>
      </c>
      <c r="N145">
        <f>DATEDIF(D145, E145, "d")</f>
        <v>11</v>
      </c>
      <c r="O145">
        <f>ROUND(Table1[[#This Row],[Unit Price]]*Table1[[#This Row],[Quantity]]*VLOOKUP(C145,Table2[#All],2,FALSE),0)</f>
        <v>4185</v>
      </c>
      <c r="P145">
        <f>ROUND(F145*G145,0)</f>
        <v>5580</v>
      </c>
      <c r="Q145">
        <f>ROUND((G145*F145)-O145,0)</f>
        <v>1395</v>
      </c>
    </row>
    <row r="146" spans="1:17">
      <c r="A146" t="s">
        <v>380</v>
      </c>
      <c r="B146" t="s">
        <v>23</v>
      </c>
      <c r="C146" t="s">
        <v>37</v>
      </c>
      <c r="D146" s="1">
        <v>45878</v>
      </c>
      <c r="E146" s="1">
        <v>45883</v>
      </c>
      <c r="F146">
        <v>5</v>
      </c>
      <c r="G146">
        <v>292</v>
      </c>
      <c r="H146" t="s">
        <v>27</v>
      </c>
      <c r="I146" t="s">
        <v>32</v>
      </c>
      <c r="J146" t="s">
        <v>28</v>
      </c>
      <c r="K146">
        <f>YEAR(D146)</f>
        <v>2025</v>
      </c>
      <c r="L146" t="str">
        <f>TEXT(D146,"mmm")</f>
        <v>Aug</v>
      </c>
      <c r="M146" t="str">
        <f>TEXT(D146,"ddd")</f>
        <v>Sat</v>
      </c>
      <c r="N146">
        <f>DATEDIF(D146, E146, "d")</f>
        <v>5</v>
      </c>
      <c r="O146">
        <f>ROUND(Table1[[#This Row],[Unit Price]]*Table1[[#This Row],[Quantity]]*VLOOKUP(C146,Table2[#All],2,FALSE),0)</f>
        <v>730</v>
      </c>
      <c r="P146">
        <f>ROUND(F146*G146,0)</f>
        <v>1460</v>
      </c>
      <c r="Q146">
        <f>ROUND((G146*F146)-O146,0)</f>
        <v>730</v>
      </c>
    </row>
    <row r="147" spans="1:17">
      <c r="A147" t="s">
        <v>470</v>
      </c>
      <c r="B147" t="s">
        <v>16</v>
      </c>
      <c r="C147" t="s">
        <v>63</v>
      </c>
      <c r="D147" s="1">
        <v>46013</v>
      </c>
      <c r="E147" s="1">
        <v>46022</v>
      </c>
      <c r="F147">
        <v>8</v>
      </c>
      <c r="G147">
        <v>953</v>
      </c>
      <c r="H147" t="s">
        <v>13</v>
      </c>
      <c r="I147" t="s">
        <v>548</v>
      </c>
      <c r="J147" t="s">
        <v>28</v>
      </c>
      <c r="K147">
        <f>YEAR(D147)</f>
        <v>2025</v>
      </c>
      <c r="L147" t="str">
        <f>TEXT(D147,"mmm")</f>
        <v>Dec</v>
      </c>
      <c r="M147" t="str">
        <f>TEXT(D147,"ddd")</f>
        <v>Mon</v>
      </c>
      <c r="N147">
        <f>DATEDIF(D147, E147, "d")</f>
        <v>9</v>
      </c>
      <c r="O147">
        <f>ROUND(Table1[[#This Row],[Unit Price]]*Table1[[#This Row],[Quantity]]*VLOOKUP(C147,Table2[#All],2,FALSE),0)</f>
        <v>3812</v>
      </c>
      <c r="P147">
        <f>ROUND(F147*G147,0)</f>
        <v>7624</v>
      </c>
      <c r="Q147">
        <f>ROUND((G147*F147)-O147,0)</f>
        <v>3812</v>
      </c>
    </row>
    <row r="148" spans="1:17">
      <c r="A148" t="s">
        <v>429</v>
      </c>
      <c r="B148" t="s">
        <v>20</v>
      </c>
      <c r="C148" t="s">
        <v>21</v>
      </c>
      <c r="D148" s="1">
        <v>45695</v>
      </c>
      <c r="E148" s="1">
        <v>45704</v>
      </c>
      <c r="F148">
        <v>2</v>
      </c>
      <c r="G148">
        <v>461</v>
      </c>
      <c r="H148" t="s">
        <v>27</v>
      </c>
      <c r="I148" t="s">
        <v>548</v>
      </c>
      <c r="J148" t="s">
        <v>18</v>
      </c>
      <c r="K148">
        <f>YEAR(D148)</f>
        <v>2025</v>
      </c>
      <c r="L148" t="str">
        <f>TEXT(D148,"mmm")</f>
        <v>Feb</v>
      </c>
      <c r="M148" t="str">
        <f>TEXT(D148,"ddd")</f>
        <v>Fri</v>
      </c>
      <c r="N148">
        <f>DATEDIF(D148, E148, "d")</f>
        <v>9</v>
      </c>
      <c r="O148">
        <f>ROUND(Table1[[#This Row],[Unit Price]]*Table1[[#This Row],[Quantity]]*VLOOKUP(C148,Table2[#All],2,FALSE),0)</f>
        <v>692</v>
      </c>
      <c r="P148">
        <f>ROUND(F148*G148,0)</f>
        <v>922</v>
      </c>
      <c r="Q148">
        <f>ROUND((G148*F148)-O148,0)</f>
        <v>230</v>
      </c>
    </row>
    <row r="149" spans="1:17">
      <c r="A149" t="s">
        <v>486</v>
      </c>
      <c r="B149" t="s">
        <v>11</v>
      </c>
      <c r="C149" t="s">
        <v>12</v>
      </c>
      <c r="D149" s="1">
        <v>45886</v>
      </c>
      <c r="E149" s="1">
        <v>45887</v>
      </c>
      <c r="F149">
        <v>8</v>
      </c>
      <c r="G149">
        <v>48</v>
      </c>
      <c r="H149" t="s">
        <v>13</v>
      </c>
      <c r="I149" t="s">
        <v>32</v>
      </c>
      <c r="J149" t="s">
        <v>45</v>
      </c>
      <c r="K149">
        <f>YEAR(D149)</f>
        <v>2025</v>
      </c>
      <c r="L149" t="str">
        <f>TEXT(D149,"mmm")</f>
        <v>Aug</v>
      </c>
      <c r="M149" t="str">
        <f>TEXT(D149,"ddd")</f>
        <v>Sun</v>
      </c>
      <c r="N149">
        <f>DATEDIF(D149, E149, "d")</f>
        <v>1</v>
      </c>
      <c r="O149">
        <f>ROUND(Table1[[#This Row],[Unit Price]]*Table1[[#This Row],[Quantity]]*VLOOKUP(C149,Table2[#All],2,FALSE),0)</f>
        <v>288</v>
      </c>
      <c r="P149">
        <f>ROUND(F149*G149,0)</f>
        <v>384</v>
      </c>
      <c r="Q149">
        <f>ROUND((G149*F149)-O149,0)</f>
        <v>96</v>
      </c>
    </row>
    <row r="150" spans="1:17">
      <c r="A150" t="s">
        <v>186</v>
      </c>
      <c r="B150" t="s">
        <v>23</v>
      </c>
      <c r="C150" t="s">
        <v>114</v>
      </c>
      <c r="D150" s="1">
        <v>45532</v>
      </c>
      <c r="E150" s="1">
        <v>45543</v>
      </c>
      <c r="F150">
        <v>8</v>
      </c>
      <c r="G150">
        <v>656</v>
      </c>
      <c r="H150" t="s">
        <v>27</v>
      </c>
      <c r="I150" t="s">
        <v>546</v>
      </c>
      <c r="J150" t="s">
        <v>14</v>
      </c>
      <c r="K150">
        <f>YEAR(D150)</f>
        <v>2024</v>
      </c>
      <c r="L150" t="str">
        <f>TEXT(D150,"mmm")</f>
        <v>Aug</v>
      </c>
      <c r="M150" t="str">
        <f>TEXT(D150,"ddd")</f>
        <v>Wed</v>
      </c>
      <c r="N150">
        <f>DATEDIF(D150, E150, "d")</f>
        <v>11</v>
      </c>
      <c r="O150">
        <f>ROUND(Table1[[#This Row],[Unit Price]]*Table1[[#This Row],[Quantity]]*VLOOKUP(C150,Table2[#All],2,FALSE),0)</f>
        <v>3149</v>
      </c>
      <c r="P150">
        <f>ROUND(F150*G150,0)</f>
        <v>5248</v>
      </c>
      <c r="Q150">
        <f>ROUND((G150*F150)-O150,0)</f>
        <v>2099</v>
      </c>
    </row>
    <row r="151" spans="1:17">
      <c r="A151" t="s">
        <v>125</v>
      </c>
      <c r="B151" t="s">
        <v>16</v>
      </c>
      <c r="C151" t="s">
        <v>17</v>
      </c>
      <c r="D151" s="1">
        <v>45398</v>
      </c>
      <c r="E151" s="1">
        <v>45404</v>
      </c>
      <c r="F151">
        <v>4</v>
      </c>
      <c r="G151">
        <v>280</v>
      </c>
      <c r="H151" t="s">
        <v>13</v>
      </c>
      <c r="I151" t="s">
        <v>32</v>
      </c>
      <c r="J151" t="s">
        <v>18</v>
      </c>
      <c r="K151">
        <f>YEAR(D151)</f>
        <v>2024</v>
      </c>
      <c r="L151" t="str">
        <f>TEXT(D151,"mmm")</f>
        <v>Apr</v>
      </c>
      <c r="M151" t="str">
        <f>TEXT(D151,"ddd")</f>
        <v>Tue</v>
      </c>
      <c r="N151">
        <f>DATEDIF(D151, E151, "d")</f>
        <v>6</v>
      </c>
      <c r="O151">
        <f>ROUND(Table1[[#This Row],[Unit Price]]*Table1[[#This Row],[Quantity]]*VLOOKUP(C151,Table2[#All],2,FALSE),0)</f>
        <v>560</v>
      </c>
      <c r="P151">
        <f>ROUND(F151*G151,0)</f>
        <v>1120</v>
      </c>
      <c r="Q151">
        <f>ROUND((G151*F151)-O151,0)</f>
        <v>560</v>
      </c>
    </row>
    <row r="152" spans="1:17">
      <c r="A152" t="s">
        <v>125</v>
      </c>
      <c r="B152" t="s">
        <v>23</v>
      </c>
      <c r="C152" t="s">
        <v>24</v>
      </c>
      <c r="D152" s="1">
        <v>45743</v>
      </c>
      <c r="E152" s="1">
        <v>45748</v>
      </c>
      <c r="F152">
        <v>1</v>
      </c>
      <c r="G152">
        <v>968</v>
      </c>
      <c r="H152" t="s">
        <v>13</v>
      </c>
      <c r="I152" t="s">
        <v>32</v>
      </c>
      <c r="J152" t="s">
        <v>28</v>
      </c>
      <c r="K152">
        <f>YEAR(D152)</f>
        <v>2025</v>
      </c>
      <c r="L152" t="str">
        <f>TEXT(D152,"mmm")</f>
        <v>Mar</v>
      </c>
      <c r="M152" t="str">
        <f>TEXT(D152,"ddd")</f>
        <v>Thu</v>
      </c>
      <c r="N152">
        <f>DATEDIF(D152, E152, "d")</f>
        <v>5</v>
      </c>
      <c r="O152">
        <f>ROUND(Table1[[#This Row],[Unit Price]]*Table1[[#This Row],[Quantity]]*VLOOKUP(C152,Table2[#All],2,FALSE),0)</f>
        <v>532</v>
      </c>
      <c r="P152">
        <f>ROUND(F152*G152,0)</f>
        <v>968</v>
      </c>
      <c r="Q152">
        <f>ROUND((G152*F152)-O152,0)</f>
        <v>436</v>
      </c>
    </row>
    <row r="153" spans="1:17">
      <c r="A153" t="s">
        <v>538</v>
      </c>
      <c r="B153" t="s">
        <v>20</v>
      </c>
      <c r="C153" t="s">
        <v>21</v>
      </c>
      <c r="D153" s="1">
        <v>45883</v>
      </c>
      <c r="E153" s="1">
        <v>45885</v>
      </c>
      <c r="F153">
        <v>7</v>
      </c>
      <c r="G153">
        <v>70</v>
      </c>
      <c r="H153" t="s">
        <v>13</v>
      </c>
      <c r="I153" t="s">
        <v>546</v>
      </c>
      <c r="J153" t="s">
        <v>45</v>
      </c>
      <c r="K153">
        <f>YEAR(D153)</f>
        <v>2025</v>
      </c>
      <c r="L153" t="str">
        <f>TEXT(D153,"mmm")</f>
        <v>Aug</v>
      </c>
      <c r="M153" t="str">
        <f>TEXT(D153,"ddd")</f>
        <v>Thu</v>
      </c>
      <c r="N153">
        <f>DATEDIF(D153, E153, "d")</f>
        <v>2</v>
      </c>
      <c r="O153">
        <f>ROUND(Table1[[#This Row],[Unit Price]]*Table1[[#This Row],[Quantity]]*VLOOKUP(C153,Table2[#All],2,FALSE),0)</f>
        <v>368</v>
      </c>
      <c r="P153">
        <f>ROUND(F153*G153,0)</f>
        <v>490</v>
      </c>
      <c r="Q153">
        <f>ROUND((G153*F153)-O153,0)</f>
        <v>122</v>
      </c>
    </row>
    <row r="154" spans="1:17">
      <c r="A154" t="s">
        <v>188</v>
      </c>
      <c r="B154" t="s">
        <v>11</v>
      </c>
      <c r="C154" t="s">
        <v>95</v>
      </c>
      <c r="D154" s="1">
        <v>45438</v>
      </c>
      <c r="E154" s="1">
        <v>45444</v>
      </c>
      <c r="F154">
        <v>2</v>
      </c>
      <c r="G154">
        <v>670</v>
      </c>
      <c r="H154" t="s">
        <v>27</v>
      </c>
      <c r="I154" t="s">
        <v>548</v>
      </c>
      <c r="J154" t="s">
        <v>18</v>
      </c>
      <c r="K154">
        <f>YEAR(D154)</f>
        <v>2024</v>
      </c>
      <c r="L154" t="str">
        <f>TEXT(D154,"mmm")</f>
        <v>May</v>
      </c>
      <c r="M154" t="str">
        <f>TEXT(D154,"ddd")</f>
        <v>Sun</v>
      </c>
      <c r="N154">
        <f>DATEDIF(D154, E154, "d")</f>
        <v>6</v>
      </c>
      <c r="O154">
        <f>ROUND(Table1[[#This Row],[Unit Price]]*Table1[[#This Row],[Quantity]]*VLOOKUP(C154,Table2[#All],2,FALSE),0)</f>
        <v>938</v>
      </c>
      <c r="P154">
        <f>ROUND(F154*G154,0)</f>
        <v>1340</v>
      </c>
      <c r="Q154">
        <f>ROUND((G154*F154)-O154,0)</f>
        <v>402</v>
      </c>
    </row>
    <row r="155" spans="1:17">
      <c r="A155" t="s">
        <v>291</v>
      </c>
      <c r="B155" t="s">
        <v>30</v>
      </c>
      <c r="C155" t="s">
        <v>41</v>
      </c>
      <c r="D155" s="1">
        <v>45495</v>
      </c>
      <c r="E155" s="1">
        <v>45498</v>
      </c>
      <c r="F155">
        <v>6</v>
      </c>
      <c r="G155">
        <v>308</v>
      </c>
      <c r="H155" t="s">
        <v>27</v>
      </c>
      <c r="I155" t="s">
        <v>551</v>
      </c>
      <c r="J155" t="s">
        <v>28</v>
      </c>
      <c r="K155">
        <f>YEAR(D155)</f>
        <v>2024</v>
      </c>
      <c r="L155" t="str">
        <f>TEXT(D155,"mmm")</f>
        <v>Jul</v>
      </c>
      <c r="M155" t="str">
        <f>TEXT(D155,"ddd")</f>
        <v>Mon</v>
      </c>
      <c r="N155">
        <f>DATEDIF(D155, E155, "d")</f>
        <v>3</v>
      </c>
      <c r="O155">
        <f>ROUND(Table1[[#This Row],[Unit Price]]*Table1[[#This Row],[Quantity]]*VLOOKUP(C155,Table2[#All],2,FALSE),0)</f>
        <v>1201</v>
      </c>
      <c r="P155">
        <f>ROUND(F155*G155,0)</f>
        <v>1848</v>
      </c>
      <c r="Q155">
        <f>ROUND((G155*F155)-O155,0)</f>
        <v>647</v>
      </c>
    </row>
    <row r="156" spans="1:17">
      <c r="A156" t="s">
        <v>64</v>
      </c>
      <c r="B156" t="s">
        <v>11</v>
      </c>
      <c r="C156" t="s">
        <v>12</v>
      </c>
      <c r="D156" s="1">
        <v>45461</v>
      </c>
      <c r="E156" s="1">
        <v>45472</v>
      </c>
      <c r="F156">
        <v>2</v>
      </c>
      <c r="G156">
        <v>536</v>
      </c>
      <c r="H156" t="s">
        <v>27</v>
      </c>
      <c r="I156" t="s">
        <v>550</v>
      </c>
      <c r="J156" t="s">
        <v>14</v>
      </c>
      <c r="K156">
        <f>YEAR(D156)</f>
        <v>2024</v>
      </c>
      <c r="L156" t="str">
        <f>TEXT(D156,"mmm")</f>
        <v>Jun</v>
      </c>
      <c r="M156" t="str">
        <f>TEXT(D156,"ddd")</f>
        <v>Tue</v>
      </c>
      <c r="N156">
        <f>DATEDIF(D156, E156, "d")</f>
        <v>11</v>
      </c>
      <c r="O156">
        <f>ROUND(Table1[[#This Row],[Unit Price]]*Table1[[#This Row],[Quantity]]*VLOOKUP(C156,Table2[#All],2,FALSE),0)</f>
        <v>804</v>
      </c>
      <c r="P156">
        <f>ROUND(F156*G156,0)</f>
        <v>1072</v>
      </c>
      <c r="Q156">
        <f>ROUND((G156*F156)-O156,0)</f>
        <v>268</v>
      </c>
    </row>
    <row r="157" spans="1:17">
      <c r="A157" t="s">
        <v>64</v>
      </c>
      <c r="B157" t="s">
        <v>30</v>
      </c>
      <c r="C157" t="s">
        <v>31</v>
      </c>
      <c r="D157" s="1">
        <v>45764</v>
      </c>
      <c r="E157" s="1">
        <v>45770</v>
      </c>
      <c r="F157">
        <v>1</v>
      </c>
      <c r="G157">
        <v>30</v>
      </c>
      <c r="H157" t="s">
        <v>27</v>
      </c>
      <c r="I157" t="s">
        <v>32</v>
      </c>
      <c r="J157" t="s">
        <v>14</v>
      </c>
      <c r="K157">
        <f>YEAR(D157)</f>
        <v>2025</v>
      </c>
      <c r="L157" t="str">
        <f>TEXT(D157,"mmm")</f>
        <v>Apr</v>
      </c>
      <c r="M157" t="str">
        <f>TEXT(D157,"ddd")</f>
        <v>Thu</v>
      </c>
      <c r="N157">
        <f>DATEDIF(D157, E157, "d")</f>
        <v>6</v>
      </c>
      <c r="O157">
        <f>ROUND(Table1[[#This Row],[Unit Price]]*Table1[[#This Row],[Quantity]]*VLOOKUP(C157,Table2[#All],2,FALSE),0)</f>
        <v>23</v>
      </c>
      <c r="P157">
        <f>ROUND(F157*G157,0)</f>
        <v>30</v>
      </c>
      <c r="Q157">
        <f>ROUND((G157*F157)-O157,0)</f>
        <v>7</v>
      </c>
    </row>
    <row r="158" spans="1:17">
      <c r="A158" t="s">
        <v>443</v>
      </c>
      <c r="B158" t="s">
        <v>16</v>
      </c>
      <c r="C158" t="s">
        <v>17</v>
      </c>
      <c r="D158" s="1">
        <v>45661</v>
      </c>
      <c r="E158" s="1">
        <v>45668</v>
      </c>
      <c r="F158">
        <v>2</v>
      </c>
      <c r="G158">
        <v>132</v>
      </c>
      <c r="H158" t="s">
        <v>27</v>
      </c>
      <c r="I158" t="s">
        <v>549</v>
      </c>
      <c r="J158" t="s">
        <v>28</v>
      </c>
      <c r="K158">
        <f>YEAR(D158)</f>
        <v>2025</v>
      </c>
      <c r="L158" t="str">
        <f>TEXT(D158,"mmm")</f>
        <v>Jan</v>
      </c>
      <c r="M158" t="str">
        <f>TEXT(D158,"ddd")</f>
        <v>Sat</v>
      </c>
      <c r="N158">
        <f>DATEDIF(D158, E158, "d")</f>
        <v>7</v>
      </c>
      <c r="O158">
        <f>ROUND(Table1[[#This Row],[Unit Price]]*Table1[[#This Row],[Quantity]]*VLOOKUP(C158,Table2[#All],2,FALSE),0)</f>
        <v>132</v>
      </c>
      <c r="P158">
        <f>ROUND(F158*G158,0)</f>
        <v>264</v>
      </c>
      <c r="Q158">
        <f>ROUND((G158*F158)-O158,0)</f>
        <v>132</v>
      </c>
    </row>
    <row r="159" spans="1:17">
      <c r="A159" t="s">
        <v>342</v>
      </c>
      <c r="B159" t="s">
        <v>23</v>
      </c>
      <c r="C159" t="s">
        <v>24</v>
      </c>
      <c r="D159" s="1">
        <v>45526</v>
      </c>
      <c r="E159" s="1">
        <v>45540</v>
      </c>
      <c r="F159">
        <v>2</v>
      </c>
      <c r="G159">
        <v>604</v>
      </c>
      <c r="H159" t="s">
        <v>13</v>
      </c>
      <c r="I159" t="s">
        <v>547</v>
      </c>
      <c r="J159" t="s">
        <v>14</v>
      </c>
      <c r="K159">
        <f>YEAR(D159)</f>
        <v>2024</v>
      </c>
      <c r="L159" t="str">
        <f>TEXT(D159,"mmm")</f>
        <v>Aug</v>
      </c>
      <c r="M159" t="str">
        <f>TEXT(D159,"ddd")</f>
        <v>Thu</v>
      </c>
      <c r="N159">
        <f>DATEDIF(D159, E159, "d")</f>
        <v>14</v>
      </c>
      <c r="O159">
        <f>ROUND(Table1[[#This Row],[Unit Price]]*Table1[[#This Row],[Quantity]]*VLOOKUP(C159,Table2[#All],2,FALSE),0)</f>
        <v>664</v>
      </c>
      <c r="P159">
        <f>ROUND(F159*G159,0)</f>
        <v>1208</v>
      </c>
      <c r="Q159">
        <f>ROUND((G159*F159)-O159,0)</f>
        <v>544</v>
      </c>
    </row>
    <row r="160" spans="1:17">
      <c r="A160" t="s">
        <v>398</v>
      </c>
      <c r="B160" t="s">
        <v>23</v>
      </c>
      <c r="C160" t="s">
        <v>24</v>
      </c>
      <c r="D160" s="1">
        <v>45863</v>
      </c>
      <c r="E160" s="1">
        <v>45870</v>
      </c>
      <c r="F160">
        <v>3</v>
      </c>
      <c r="G160">
        <v>486</v>
      </c>
      <c r="H160" t="s">
        <v>13</v>
      </c>
      <c r="I160" t="s">
        <v>548</v>
      </c>
      <c r="J160" t="s">
        <v>45</v>
      </c>
      <c r="K160">
        <f>YEAR(D160)</f>
        <v>2025</v>
      </c>
      <c r="L160" t="str">
        <f>TEXT(D160,"mmm")</f>
        <v>Jul</v>
      </c>
      <c r="M160" t="str">
        <f>TEXT(D160,"ddd")</f>
        <v>Fri</v>
      </c>
      <c r="N160">
        <f>DATEDIF(D160, E160, "d")</f>
        <v>7</v>
      </c>
      <c r="O160">
        <f>ROUND(Table1[[#This Row],[Unit Price]]*Table1[[#This Row],[Quantity]]*VLOOKUP(C160,Table2[#All],2,FALSE),0)</f>
        <v>802</v>
      </c>
      <c r="P160">
        <f>ROUND(F160*G160,0)</f>
        <v>1458</v>
      </c>
      <c r="Q160">
        <f>ROUND((G160*F160)-O160,0)</f>
        <v>656</v>
      </c>
    </row>
    <row r="161" spans="1:17">
      <c r="A161" t="s">
        <v>100</v>
      </c>
      <c r="B161" t="s">
        <v>11</v>
      </c>
      <c r="C161" t="s">
        <v>26</v>
      </c>
      <c r="D161" s="1">
        <v>45360</v>
      </c>
      <c r="E161" s="1">
        <v>45364</v>
      </c>
      <c r="F161">
        <v>8</v>
      </c>
      <c r="G161">
        <v>693</v>
      </c>
      <c r="H161" t="s">
        <v>27</v>
      </c>
      <c r="I161" t="s">
        <v>32</v>
      </c>
      <c r="J161" t="s">
        <v>14</v>
      </c>
      <c r="K161">
        <f>YEAR(D161)</f>
        <v>2024</v>
      </c>
      <c r="L161" t="str">
        <f>TEXT(D161,"mmm")</f>
        <v>Mar</v>
      </c>
      <c r="M161" t="str">
        <f>TEXT(D161,"ddd")</f>
        <v>Sat</v>
      </c>
      <c r="N161">
        <f>DATEDIF(D161, E161, "d")</f>
        <v>4</v>
      </c>
      <c r="O161">
        <f>ROUND(Table1[[#This Row],[Unit Price]]*Table1[[#This Row],[Quantity]]*VLOOKUP(C161,Table2[#All],2,FALSE),0)</f>
        <v>3604</v>
      </c>
      <c r="P161">
        <f>ROUND(F161*G161,0)</f>
        <v>5544</v>
      </c>
      <c r="Q161">
        <f>ROUND((G161*F161)-O161,0)</f>
        <v>1940</v>
      </c>
    </row>
    <row r="162" spans="1:17">
      <c r="A162" t="s">
        <v>100</v>
      </c>
      <c r="B162" t="s">
        <v>23</v>
      </c>
      <c r="C162" t="s">
        <v>69</v>
      </c>
      <c r="D162" s="1">
        <v>45793</v>
      </c>
      <c r="E162" s="1">
        <v>45797</v>
      </c>
      <c r="F162">
        <v>10</v>
      </c>
      <c r="G162">
        <v>102</v>
      </c>
      <c r="H162" t="s">
        <v>27</v>
      </c>
      <c r="I162" t="s">
        <v>549</v>
      </c>
      <c r="J162" t="s">
        <v>28</v>
      </c>
      <c r="K162">
        <f>YEAR(D162)</f>
        <v>2025</v>
      </c>
      <c r="L162" t="str">
        <f>TEXT(D162,"mmm")</f>
        <v>May</v>
      </c>
      <c r="M162" t="str">
        <f>TEXT(D162,"ddd")</f>
        <v>Fri</v>
      </c>
      <c r="N162">
        <f>DATEDIF(D162, E162, "d")</f>
        <v>4</v>
      </c>
      <c r="O162">
        <f>ROUND(Table1[[#This Row],[Unit Price]]*Table1[[#This Row],[Quantity]]*VLOOKUP(C162,Table2[#All],2,FALSE),0)</f>
        <v>561</v>
      </c>
      <c r="P162">
        <f>ROUND(F162*G162,0)</f>
        <v>1020</v>
      </c>
      <c r="Q162">
        <f>ROUND((G162*F162)-O162,0)</f>
        <v>459</v>
      </c>
    </row>
    <row r="163" spans="1:17">
      <c r="A163" t="s">
        <v>419</v>
      </c>
      <c r="B163" t="s">
        <v>16</v>
      </c>
      <c r="C163" t="s">
        <v>43</v>
      </c>
      <c r="D163" s="1">
        <v>45821</v>
      </c>
      <c r="E163" s="1">
        <v>45828</v>
      </c>
      <c r="F163">
        <v>10</v>
      </c>
      <c r="G163">
        <v>525</v>
      </c>
      <c r="H163" t="s">
        <v>27</v>
      </c>
      <c r="I163" t="s">
        <v>548</v>
      </c>
      <c r="J163" t="s">
        <v>45</v>
      </c>
      <c r="K163">
        <f>YEAR(D163)</f>
        <v>2025</v>
      </c>
      <c r="L163" t="str">
        <f>TEXT(D163,"mmm")</f>
        <v>Jun</v>
      </c>
      <c r="M163" t="str">
        <f>TEXT(D163,"ddd")</f>
        <v>Fri</v>
      </c>
      <c r="N163">
        <f>DATEDIF(D163, E163, "d")</f>
        <v>7</v>
      </c>
      <c r="O163">
        <f>ROUND(Table1[[#This Row],[Unit Price]]*Table1[[#This Row],[Quantity]]*VLOOKUP(C163,Table2[#All],2,FALSE),0)</f>
        <v>3150</v>
      </c>
      <c r="P163">
        <f>ROUND(F163*G163,0)</f>
        <v>5250</v>
      </c>
      <c r="Q163">
        <f>ROUND((G163*F163)-O163,0)</f>
        <v>2100</v>
      </c>
    </row>
    <row r="164" spans="1:17">
      <c r="A164" t="s">
        <v>22</v>
      </c>
      <c r="B164" t="s">
        <v>23</v>
      </c>
      <c r="C164" t="s">
        <v>24</v>
      </c>
      <c r="D164" s="1">
        <v>45434</v>
      </c>
      <c r="E164" s="1">
        <v>45439</v>
      </c>
      <c r="F164">
        <v>3</v>
      </c>
      <c r="G164">
        <v>230</v>
      </c>
      <c r="H164" t="s">
        <v>13</v>
      </c>
      <c r="I164" t="s">
        <v>548</v>
      </c>
      <c r="J164" t="s">
        <v>18</v>
      </c>
      <c r="K164">
        <f>YEAR(D164)</f>
        <v>2024</v>
      </c>
      <c r="L164" t="str">
        <f>TEXT(D164,"mmm")</f>
        <v>May</v>
      </c>
      <c r="M164" t="str">
        <f>TEXT(D164,"ddd")</f>
        <v>Wed</v>
      </c>
      <c r="N164">
        <f>DATEDIF(D164, E164, "d")</f>
        <v>5</v>
      </c>
      <c r="O164">
        <f>ROUND(Table1[[#This Row],[Unit Price]]*Table1[[#This Row],[Quantity]]*VLOOKUP(C164,Table2[#All],2,FALSE),0)</f>
        <v>380</v>
      </c>
      <c r="P164">
        <f>ROUND(F164*G164,0)</f>
        <v>690</v>
      </c>
      <c r="Q164">
        <f>ROUND((G164*F164)-O164,0)</f>
        <v>310</v>
      </c>
    </row>
    <row r="165" spans="1:17">
      <c r="A165" t="s">
        <v>267</v>
      </c>
      <c r="B165" t="s">
        <v>23</v>
      </c>
      <c r="C165" t="s">
        <v>99</v>
      </c>
      <c r="D165" s="1">
        <v>45462</v>
      </c>
      <c r="E165" s="1">
        <v>45476</v>
      </c>
      <c r="F165">
        <v>5</v>
      </c>
      <c r="G165">
        <v>989</v>
      </c>
      <c r="H165" t="s">
        <v>13</v>
      </c>
      <c r="I165" t="s">
        <v>550</v>
      </c>
      <c r="J165" t="s">
        <v>14</v>
      </c>
      <c r="K165">
        <f>YEAR(D165)</f>
        <v>2024</v>
      </c>
      <c r="L165" t="str">
        <f>TEXT(D165,"mmm")</f>
        <v>Jun</v>
      </c>
      <c r="M165" t="str">
        <f>TEXT(D165,"ddd")</f>
        <v>Wed</v>
      </c>
      <c r="N165">
        <f>DATEDIF(D165, E165, "d")</f>
        <v>14</v>
      </c>
      <c r="O165">
        <f>ROUND(Table1[[#This Row],[Unit Price]]*Table1[[#This Row],[Quantity]]*VLOOKUP(C165,Table2[#All],2,FALSE),0)</f>
        <v>2967</v>
      </c>
      <c r="P165">
        <f>ROUND(F165*G165,0)</f>
        <v>4945</v>
      </c>
      <c r="Q165">
        <f>ROUND((G165*F165)-O165,0)</f>
        <v>1978</v>
      </c>
    </row>
    <row r="166" spans="1:17">
      <c r="A166" t="s">
        <v>458</v>
      </c>
      <c r="B166" t="s">
        <v>16</v>
      </c>
      <c r="C166" t="s">
        <v>43</v>
      </c>
      <c r="D166" s="1">
        <v>45850</v>
      </c>
      <c r="E166" s="1">
        <v>45858</v>
      </c>
      <c r="F166">
        <v>8</v>
      </c>
      <c r="G166">
        <v>779</v>
      </c>
      <c r="H166" t="s">
        <v>13</v>
      </c>
      <c r="I166" t="s">
        <v>549</v>
      </c>
      <c r="J166" t="s">
        <v>28</v>
      </c>
      <c r="K166">
        <f>YEAR(D166)</f>
        <v>2025</v>
      </c>
      <c r="L166" t="str">
        <f>TEXT(D166,"mmm")</f>
        <v>Jul</v>
      </c>
      <c r="M166" t="str">
        <f>TEXT(D166,"ddd")</f>
        <v>Sat</v>
      </c>
      <c r="N166">
        <f>DATEDIF(D166, E166, "d")</f>
        <v>8</v>
      </c>
      <c r="O166">
        <f>ROUND(Table1[[#This Row],[Unit Price]]*Table1[[#This Row],[Quantity]]*VLOOKUP(C166,Table2[#All],2,FALSE),0)</f>
        <v>3739</v>
      </c>
      <c r="P166">
        <f>ROUND(F166*G166,0)</f>
        <v>6232</v>
      </c>
      <c r="Q166">
        <f>ROUND((G166*F166)-O166,0)</f>
        <v>2493</v>
      </c>
    </row>
    <row r="167" spans="1:17">
      <c r="A167" t="s">
        <v>510</v>
      </c>
      <c r="B167" t="s">
        <v>23</v>
      </c>
      <c r="C167" t="s">
        <v>37</v>
      </c>
      <c r="D167" s="1">
        <v>45793</v>
      </c>
      <c r="E167" s="1">
        <v>45802</v>
      </c>
      <c r="F167">
        <v>4</v>
      </c>
      <c r="G167">
        <v>959</v>
      </c>
      <c r="H167" t="s">
        <v>13</v>
      </c>
      <c r="I167" t="s">
        <v>549</v>
      </c>
      <c r="J167" t="s">
        <v>28</v>
      </c>
      <c r="K167">
        <f>YEAR(D167)</f>
        <v>2025</v>
      </c>
      <c r="L167" t="str">
        <f>TEXT(D167,"mmm")</f>
        <v>May</v>
      </c>
      <c r="M167" t="str">
        <f>TEXT(D167,"ddd")</f>
        <v>Fri</v>
      </c>
      <c r="N167">
        <f>DATEDIF(D167, E167, "d")</f>
        <v>9</v>
      </c>
      <c r="O167">
        <f>ROUND(Table1[[#This Row],[Unit Price]]*Table1[[#This Row],[Quantity]]*VLOOKUP(C167,Table2[#All],2,FALSE),0)</f>
        <v>1918</v>
      </c>
      <c r="P167">
        <f>ROUND(F167*G167,0)</f>
        <v>3836</v>
      </c>
      <c r="Q167">
        <f>ROUND((G167*F167)-O167,0)</f>
        <v>1918</v>
      </c>
    </row>
    <row r="168" spans="1:17">
      <c r="A168" t="s">
        <v>119</v>
      </c>
      <c r="B168" t="s">
        <v>11</v>
      </c>
      <c r="C168" t="s">
        <v>57</v>
      </c>
      <c r="D168" s="1">
        <v>45453</v>
      </c>
      <c r="E168" s="1">
        <v>45462</v>
      </c>
      <c r="F168">
        <v>2</v>
      </c>
      <c r="G168">
        <v>770</v>
      </c>
      <c r="H168" t="s">
        <v>13</v>
      </c>
      <c r="I168" t="s">
        <v>32</v>
      </c>
      <c r="J168" t="s">
        <v>45</v>
      </c>
      <c r="K168">
        <f>YEAR(D168)</f>
        <v>2024</v>
      </c>
      <c r="L168" t="str">
        <f>TEXT(D168,"mmm")</f>
        <v>Jun</v>
      </c>
      <c r="M168" t="str">
        <f>TEXT(D168,"ddd")</f>
        <v>Mon</v>
      </c>
      <c r="N168">
        <f>DATEDIF(D168, E168, "d")</f>
        <v>9</v>
      </c>
      <c r="O168">
        <f>ROUND(Table1[[#This Row],[Unit Price]]*Table1[[#This Row],[Quantity]]*VLOOKUP(C168,Table2[#All],2,FALSE),0)</f>
        <v>1309</v>
      </c>
      <c r="P168">
        <f>ROUND(F168*G168,0)</f>
        <v>1540</v>
      </c>
      <c r="Q168">
        <f>ROUND((G168*F168)-O168,0)</f>
        <v>231</v>
      </c>
    </row>
    <row r="169" spans="1:17">
      <c r="A169" t="s">
        <v>93</v>
      </c>
      <c r="B169" t="s">
        <v>23</v>
      </c>
      <c r="C169" t="s">
        <v>37</v>
      </c>
      <c r="D169" s="1">
        <v>45637</v>
      </c>
      <c r="E169" s="1">
        <v>45647</v>
      </c>
      <c r="F169">
        <v>4</v>
      </c>
      <c r="G169">
        <v>533</v>
      </c>
      <c r="H169" t="s">
        <v>27</v>
      </c>
      <c r="I169" t="s">
        <v>549</v>
      </c>
      <c r="J169" t="s">
        <v>45</v>
      </c>
      <c r="K169">
        <f>YEAR(D169)</f>
        <v>2024</v>
      </c>
      <c r="L169" t="str">
        <f>TEXT(D169,"mmm")</f>
        <v>Dec</v>
      </c>
      <c r="M169" t="str">
        <f>TEXT(D169,"ddd")</f>
        <v>Wed</v>
      </c>
      <c r="N169">
        <f>DATEDIF(D169, E169, "d")</f>
        <v>10</v>
      </c>
      <c r="O169">
        <f>ROUND(Table1[[#This Row],[Unit Price]]*Table1[[#This Row],[Quantity]]*VLOOKUP(C169,Table2[#All],2,FALSE),0)</f>
        <v>1066</v>
      </c>
      <c r="P169">
        <f>ROUND(F169*G169,0)</f>
        <v>2132</v>
      </c>
      <c r="Q169">
        <f>ROUND((G169*F169)-O169,0)</f>
        <v>1066</v>
      </c>
    </row>
    <row r="170" spans="1:17">
      <c r="A170" t="s">
        <v>93</v>
      </c>
      <c r="B170" t="s">
        <v>23</v>
      </c>
      <c r="C170" t="s">
        <v>69</v>
      </c>
      <c r="D170" s="1">
        <v>45986</v>
      </c>
      <c r="E170" s="1">
        <v>45996</v>
      </c>
      <c r="F170">
        <v>9</v>
      </c>
      <c r="G170">
        <v>811</v>
      </c>
      <c r="H170" t="s">
        <v>27</v>
      </c>
      <c r="I170" t="s">
        <v>550</v>
      </c>
      <c r="J170" t="s">
        <v>28</v>
      </c>
      <c r="K170">
        <f>YEAR(D170)</f>
        <v>2025</v>
      </c>
      <c r="L170" t="str">
        <f>TEXT(D170,"mmm")</f>
        <v>Nov</v>
      </c>
      <c r="M170" t="str">
        <f>TEXT(D170,"ddd")</f>
        <v>Tue</v>
      </c>
      <c r="N170">
        <f>DATEDIF(D170, E170, "d")</f>
        <v>10</v>
      </c>
      <c r="O170">
        <f>ROUND(Table1[[#This Row],[Unit Price]]*Table1[[#This Row],[Quantity]]*VLOOKUP(C170,Table2[#All],2,FALSE),0)</f>
        <v>4014</v>
      </c>
      <c r="P170">
        <f>ROUND(F170*G170,0)</f>
        <v>7299</v>
      </c>
      <c r="Q170">
        <f>ROUND((G170*F170)-O170,0)</f>
        <v>3285</v>
      </c>
    </row>
    <row r="171" spans="1:17">
      <c r="A171" t="s">
        <v>492</v>
      </c>
      <c r="B171" t="s">
        <v>30</v>
      </c>
      <c r="C171" t="s">
        <v>41</v>
      </c>
      <c r="D171" s="1">
        <v>45965</v>
      </c>
      <c r="E171" s="1">
        <v>45971</v>
      </c>
      <c r="F171">
        <v>10</v>
      </c>
      <c r="G171">
        <v>85</v>
      </c>
      <c r="H171" t="s">
        <v>13</v>
      </c>
      <c r="I171" t="s">
        <v>546</v>
      </c>
      <c r="J171" t="s">
        <v>28</v>
      </c>
      <c r="K171">
        <f>YEAR(D171)</f>
        <v>2025</v>
      </c>
      <c r="L171" t="str">
        <f>TEXT(D171,"mmm")</f>
        <v>Nov</v>
      </c>
      <c r="M171" t="str">
        <f>TEXT(D171,"ddd")</f>
        <v>Tue</v>
      </c>
      <c r="N171">
        <f>DATEDIF(D171, E171, "d")</f>
        <v>6</v>
      </c>
      <c r="O171">
        <f>ROUND(Table1[[#This Row],[Unit Price]]*Table1[[#This Row],[Quantity]]*VLOOKUP(C171,Table2[#All],2,FALSE),0)</f>
        <v>553</v>
      </c>
      <c r="P171">
        <f>ROUND(F171*G171,0)</f>
        <v>850</v>
      </c>
      <c r="Q171">
        <f>ROUND((G171*F171)-O171,0)</f>
        <v>297</v>
      </c>
    </row>
    <row r="172" spans="1:17">
      <c r="A172" t="s">
        <v>410</v>
      </c>
      <c r="B172" t="s">
        <v>20</v>
      </c>
      <c r="C172" t="s">
        <v>82</v>
      </c>
      <c r="D172" s="1">
        <v>46007</v>
      </c>
      <c r="E172" s="1">
        <v>46022</v>
      </c>
      <c r="F172">
        <v>8</v>
      </c>
      <c r="G172">
        <v>179</v>
      </c>
      <c r="H172" t="s">
        <v>27</v>
      </c>
      <c r="I172" t="s">
        <v>32</v>
      </c>
      <c r="J172" t="s">
        <v>28</v>
      </c>
      <c r="K172">
        <f>YEAR(D172)</f>
        <v>2025</v>
      </c>
      <c r="L172" t="str">
        <f>TEXT(D172,"mmm")</f>
        <v>Dec</v>
      </c>
      <c r="M172" t="str">
        <f>TEXT(D172,"ddd")</f>
        <v>Tue</v>
      </c>
      <c r="N172">
        <f>DATEDIF(D172, E172, "d")</f>
        <v>15</v>
      </c>
      <c r="O172">
        <f>ROUND(Table1[[#This Row],[Unit Price]]*Table1[[#This Row],[Quantity]]*VLOOKUP(C172,Table2[#All],2,FALSE),0)</f>
        <v>1146</v>
      </c>
      <c r="P172">
        <f>ROUND(F172*G172,0)</f>
        <v>1432</v>
      </c>
      <c r="Q172">
        <f>ROUND((G172*F172)-O172,0)</f>
        <v>286</v>
      </c>
    </row>
    <row r="173" spans="1:17">
      <c r="A173" t="s">
        <v>126</v>
      </c>
      <c r="B173" t="s">
        <v>16</v>
      </c>
      <c r="C173" t="s">
        <v>43</v>
      </c>
      <c r="D173" s="1">
        <v>45441</v>
      </c>
      <c r="E173" s="1">
        <v>45455</v>
      </c>
      <c r="F173">
        <v>1</v>
      </c>
      <c r="G173">
        <v>247</v>
      </c>
      <c r="H173" t="s">
        <v>27</v>
      </c>
      <c r="I173" t="s">
        <v>546</v>
      </c>
      <c r="J173" t="s">
        <v>28</v>
      </c>
      <c r="K173">
        <f>YEAR(D173)</f>
        <v>2024</v>
      </c>
      <c r="L173" t="str">
        <f>TEXT(D173,"mmm")</f>
        <v>May</v>
      </c>
      <c r="M173" t="str">
        <f>TEXT(D173,"ddd")</f>
        <v>Wed</v>
      </c>
      <c r="N173">
        <f>DATEDIF(D173, E173, "d")</f>
        <v>14</v>
      </c>
      <c r="O173">
        <f>ROUND(Table1[[#This Row],[Unit Price]]*Table1[[#This Row],[Quantity]]*VLOOKUP(C173,Table2[#All],2,FALSE),0)</f>
        <v>148</v>
      </c>
      <c r="P173">
        <f>ROUND(F173*G173,0)</f>
        <v>247</v>
      </c>
      <c r="Q173">
        <f>ROUND((G173*F173)-O173,0)</f>
        <v>99</v>
      </c>
    </row>
    <row r="174" spans="1:17">
      <c r="A174" t="s">
        <v>211</v>
      </c>
      <c r="B174" t="s">
        <v>23</v>
      </c>
      <c r="C174" t="s">
        <v>24</v>
      </c>
      <c r="D174" s="1">
        <v>45554</v>
      </c>
      <c r="E174" s="1">
        <v>45574</v>
      </c>
      <c r="F174">
        <v>3</v>
      </c>
      <c r="G174">
        <v>985</v>
      </c>
      <c r="H174" t="s">
        <v>27</v>
      </c>
      <c r="I174" t="s">
        <v>550</v>
      </c>
      <c r="J174" t="s">
        <v>28</v>
      </c>
      <c r="K174">
        <f>YEAR(D174)</f>
        <v>2024</v>
      </c>
      <c r="L174" t="str">
        <f>TEXT(D174,"mmm")</f>
        <v>Sep</v>
      </c>
      <c r="M174" t="str">
        <f>TEXT(D174,"ddd")</f>
        <v>Thu</v>
      </c>
      <c r="N174">
        <f>DATEDIF(D174, E174, "d")</f>
        <v>20</v>
      </c>
      <c r="O174">
        <f>ROUND(Table1[[#This Row],[Unit Price]]*Table1[[#This Row],[Quantity]]*VLOOKUP(C174,Table2[#All],2,FALSE),0)</f>
        <v>1625</v>
      </c>
      <c r="P174">
        <f>ROUND(F174*G174,0)</f>
        <v>2955</v>
      </c>
      <c r="Q174">
        <f>ROUND((G174*F174)-O174,0)</f>
        <v>1330</v>
      </c>
    </row>
    <row r="175" spans="1:17">
      <c r="A175" t="s">
        <v>378</v>
      </c>
      <c r="B175" t="s">
        <v>16</v>
      </c>
      <c r="C175" t="s">
        <v>63</v>
      </c>
      <c r="D175" s="1">
        <v>45722</v>
      </c>
      <c r="E175" s="1">
        <v>45732</v>
      </c>
      <c r="F175">
        <v>5</v>
      </c>
      <c r="G175">
        <v>536</v>
      </c>
      <c r="H175" t="s">
        <v>27</v>
      </c>
      <c r="I175" t="s">
        <v>546</v>
      </c>
      <c r="J175" t="s">
        <v>45</v>
      </c>
      <c r="K175">
        <f>YEAR(D175)</f>
        <v>2025</v>
      </c>
      <c r="L175" t="str">
        <f>TEXT(D175,"mmm")</f>
        <v>Mar</v>
      </c>
      <c r="M175" t="str">
        <f>TEXT(D175,"ddd")</f>
        <v>Thu</v>
      </c>
      <c r="N175">
        <f>DATEDIF(D175, E175, "d")</f>
        <v>10</v>
      </c>
      <c r="O175">
        <f>ROUND(Table1[[#This Row],[Unit Price]]*Table1[[#This Row],[Quantity]]*VLOOKUP(C175,Table2[#All],2,FALSE),0)</f>
        <v>1340</v>
      </c>
      <c r="P175">
        <f>ROUND(F175*G175,0)</f>
        <v>2680</v>
      </c>
      <c r="Q175">
        <f>ROUND((G175*F175)-O175,0)</f>
        <v>1340</v>
      </c>
    </row>
    <row r="176" spans="1:17">
      <c r="A176" t="s">
        <v>223</v>
      </c>
      <c r="B176" t="s">
        <v>23</v>
      </c>
      <c r="C176" t="s">
        <v>99</v>
      </c>
      <c r="D176" s="1">
        <v>45466</v>
      </c>
      <c r="E176" s="1">
        <v>45470</v>
      </c>
      <c r="F176">
        <v>10</v>
      </c>
      <c r="G176">
        <v>157</v>
      </c>
      <c r="H176" t="s">
        <v>27</v>
      </c>
      <c r="I176" t="s">
        <v>546</v>
      </c>
      <c r="J176" t="s">
        <v>45</v>
      </c>
      <c r="K176">
        <f>YEAR(D176)</f>
        <v>2024</v>
      </c>
      <c r="L176" t="str">
        <f>TEXT(D176,"mmm")</f>
        <v>Jun</v>
      </c>
      <c r="M176" t="str">
        <f>TEXT(D176,"ddd")</f>
        <v>Sun</v>
      </c>
      <c r="N176">
        <f>DATEDIF(D176, E176, "d")</f>
        <v>4</v>
      </c>
      <c r="O176">
        <f>ROUND(Table1[[#This Row],[Unit Price]]*Table1[[#This Row],[Quantity]]*VLOOKUP(C176,Table2[#All],2,FALSE),0)</f>
        <v>942</v>
      </c>
      <c r="P176">
        <f>ROUND(F176*G176,0)</f>
        <v>1570</v>
      </c>
      <c r="Q176">
        <f>ROUND((G176*F176)-O176,0)</f>
        <v>628</v>
      </c>
    </row>
    <row r="177" spans="1:17">
      <c r="A177" t="s">
        <v>418</v>
      </c>
      <c r="B177" t="s">
        <v>20</v>
      </c>
      <c r="C177" t="s">
        <v>82</v>
      </c>
      <c r="D177" s="1">
        <v>45790</v>
      </c>
      <c r="E177" s="1">
        <v>45793</v>
      </c>
      <c r="F177">
        <v>10</v>
      </c>
      <c r="G177">
        <v>253</v>
      </c>
      <c r="H177" t="s">
        <v>13</v>
      </c>
      <c r="I177" t="s">
        <v>548</v>
      </c>
      <c r="J177" t="s">
        <v>18</v>
      </c>
      <c r="K177">
        <f>YEAR(D177)</f>
        <v>2025</v>
      </c>
      <c r="L177" t="str">
        <f>TEXT(D177,"mmm")</f>
        <v>May</v>
      </c>
      <c r="M177" t="str">
        <f>TEXT(D177,"ddd")</f>
        <v>Tue</v>
      </c>
      <c r="N177">
        <f>DATEDIF(D177, E177, "d")</f>
        <v>3</v>
      </c>
      <c r="O177">
        <f>ROUND(Table1[[#This Row],[Unit Price]]*Table1[[#This Row],[Quantity]]*VLOOKUP(C177,Table2[#All],2,FALSE),0)</f>
        <v>2024</v>
      </c>
      <c r="P177">
        <f>ROUND(F177*G177,0)</f>
        <v>2530</v>
      </c>
      <c r="Q177">
        <f>ROUND((G177*F177)-O177,0)</f>
        <v>506</v>
      </c>
    </row>
    <row r="178" spans="1:17">
      <c r="A178" t="s">
        <v>417</v>
      </c>
      <c r="B178" t="s">
        <v>11</v>
      </c>
      <c r="C178" t="s">
        <v>12</v>
      </c>
      <c r="D178" s="1">
        <v>46003</v>
      </c>
      <c r="E178" s="1">
        <v>46014</v>
      </c>
      <c r="F178">
        <v>9</v>
      </c>
      <c r="G178">
        <v>647</v>
      </c>
      <c r="H178" t="s">
        <v>13</v>
      </c>
      <c r="I178" t="s">
        <v>548</v>
      </c>
      <c r="J178" t="s">
        <v>28</v>
      </c>
      <c r="K178">
        <f>YEAR(D178)</f>
        <v>2025</v>
      </c>
      <c r="L178" t="str">
        <f>TEXT(D178,"mmm")</f>
        <v>Dec</v>
      </c>
      <c r="M178" t="str">
        <f>TEXT(D178,"ddd")</f>
        <v>Fri</v>
      </c>
      <c r="N178">
        <f>DATEDIF(D178, E178, "d")</f>
        <v>11</v>
      </c>
      <c r="O178">
        <f>ROUND(Table1[[#This Row],[Unit Price]]*Table1[[#This Row],[Quantity]]*VLOOKUP(C178,Table2[#All],2,FALSE),0)</f>
        <v>4367</v>
      </c>
      <c r="P178">
        <f>ROUND(F178*G178,0)</f>
        <v>5823</v>
      </c>
      <c r="Q178">
        <f>ROUND((G178*F178)-O178,0)</f>
        <v>1456</v>
      </c>
    </row>
    <row r="179" spans="1:17">
      <c r="A179" t="s">
        <v>134</v>
      </c>
      <c r="B179" t="s">
        <v>30</v>
      </c>
      <c r="C179" t="s">
        <v>49</v>
      </c>
      <c r="D179" s="1">
        <v>45647</v>
      </c>
      <c r="E179" s="1">
        <v>45650</v>
      </c>
      <c r="F179">
        <v>8</v>
      </c>
      <c r="G179">
        <v>305</v>
      </c>
      <c r="H179" t="s">
        <v>27</v>
      </c>
      <c r="I179" t="s">
        <v>32</v>
      </c>
      <c r="J179" t="s">
        <v>18</v>
      </c>
      <c r="K179">
        <f>YEAR(D179)</f>
        <v>2024</v>
      </c>
      <c r="L179" t="str">
        <f>TEXT(D179,"mmm")</f>
        <v>Dec</v>
      </c>
      <c r="M179" t="str">
        <f>TEXT(D179,"ddd")</f>
        <v>Sat</v>
      </c>
      <c r="N179">
        <f>DATEDIF(D179, E179, "d")</f>
        <v>3</v>
      </c>
      <c r="O179">
        <f>ROUND(Table1[[#This Row],[Unit Price]]*Table1[[#This Row],[Quantity]]*VLOOKUP(C179,Table2[#All],2,FALSE),0)</f>
        <v>1708</v>
      </c>
      <c r="P179">
        <f>ROUND(F179*G179,0)</f>
        <v>2440</v>
      </c>
      <c r="Q179">
        <f>ROUND((G179*F179)-O179,0)</f>
        <v>732</v>
      </c>
    </row>
    <row r="180" spans="1:17">
      <c r="A180" t="s">
        <v>313</v>
      </c>
      <c r="B180" t="s">
        <v>11</v>
      </c>
      <c r="C180" t="s">
        <v>57</v>
      </c>
      <c r="D180" s="1">
        <v>45502</v>
      </c>
      <c r="E180" s="1">
        <v>45508</v>
      </c>
      <c r="F180">
        <v>1</v>
      </c>
      <c r="G180">
        <v>293</v>
      </c>
      <c r="H180" t="s">
        <v>27</v>
      </c>
      <c r="I180" t="s">
        <v>548</v>
      </c>
      <c r="J180" t="s">
        <v>18</v>
      </c>
      <c r="K180">
        <f>YEAR(D180)</f>
        <v>2024</v>
      </c>
      <c r="L180" t="str">
        <f>TEXT(D180,"mmm")</f>
        <v>Jul</v>
      </c>
      <c r="M180" t="str">
        <f>TEXT(D180,"ddd")</f>
        <v>Mon</v>
      </c>
      <c r="N180">
        <f>DATEDIF(D180, E180, "d")</f>
        <v>6</v>
      </c>
      <c r="O180">
        <f>ROUND(Table1[[#This Row],[Unit Price]]*Table1[[#This Row],[Quantity]]*VLOOKUP(C180,Table2[#All],2,FALSE),0)</f>
        <v>249</v>
      </c>
      <c r="P180">
        <f>ROUND(F180*G180,0)</f>
        <v>293</v>
      </c>
      <c r="Q180">
        <f>ROUND((G180*F180)-O180,0)</f>
        <v>44</v>
      </c>
    </row>
    <row r="181" spans="1:17">
      <c r="A181" t="s">
        <v>209</v>
      </c>
      <c r="B181" t="s">
        <v>11</v>
      </c>
      <c r="C181" t="s">
        <v>26</v>
      </c>
      <c r="D181" s="1">
        <v>45332</v>
      </c>
      <c r="E181" s="1">
        <v>45340</v>
      </c>
      <c r="F181">
        <v>7</v>
      </c>
      <c r="G181">
        <v>626</v>
      </c>
      <c r="H181" t="s">
        <v>27</v>
      </c>
      <c r="I181" t="s">
        <v>548</v>
      </c>
      <c r="J181" t="s">
        <v>28</v>
      </c>
      <c r="K181">
        <f>YEAR(D181)</f>
        <v>2024</v>
      </c>
      <c r="L181" t="str">
        <f>TEXT(D181,"mmm")</f>
        <v>Feb</v>
      </c>
      <c r="M181" t="str">
        <f>TEXT(D181,"ddd")</f>
        <v>Sat</v>
      </c>
      <c r="N181">
        <f>DATEDIF(D181, E181, "d")</f>
        <v>8</v>
      </c>
      <c r="O181">
        <f>ROUND(Table1[[#This Row],[Unit Price]]*Table1[[#This Row],[Quantity]]*VLOOKUP(C181,Table2[#All],2,FALSE),0)</f>
        <v>2848</v>
      </c>
      <c r="P181">
        <f>ROUND(F181*G181,0)</f>
        <v>4382</v>
      </c>
      <c r="Q181">
        <f>ROUND((G181*F181)-O181,0)</f>
        <v>1534</v>
      </c>
    </row>
    <row r="182" spans="1:17">
      <c r="A182" t="s">
        <v>284</v>
      </c>
      <c r="B182" t="s">
        <v>16</v>
      </c>
      <c r="C182" t="s">
        <v>55</v>
      </c>
      <c r="D182" s="1">
        <v>45488</v>
      </c>
      <c r="E182" s="1">
        <v>45501</v>
      </c>
      <c r="F182">
        <v>3</v>
      </c>
      <c r="G182">
        <v>819</v>
      </c>
      <c r="H182" t="s">
        <v>27</v>
      </c>
      <c r="I182" t="s">
        <v>32</v>
      </c>
      <c r="J182" t="s">
        <v>14</v>
      </c>
      <c r="K182">
        <f>YEAR(D182)</f>
        <v>2024</v>
      </c>
      <c r="L182" t="str">
        <f>TEXT(D182,"mmm")</f>
        <v>Jul</v>
      </c>
      <c r="M182" t="str">
        <f>TEXT(D182,"ddd")</f>
        <v>Mon</v>
      </c>
      <c r="N182">
        <f>DATEDIF(D182, E182, "d")</f>
        <v>13</v>
      </c>
      <c r="O182">
        <f>ROUND(Table1[[#This Row],[Unit Price]]*Table1[[#This Row],[Quantity]]*VLOOKUP(C182,Table2[#All],2,FALSE),0)</f>
        <v>1351</v>
      </c>
      <c r="P182">
        <f>ROUND(F182*G182,0)</f>
        <v>2457</v>
      </c>
      <c r="Q182">
        <f>ROUND((G182*F182)-O182,0)</f>
        <v>1106</v>
      </c>
    </row>
    <row r="183" spans="1:17">
      <c r="A183" t="s">
        <v>507</v>
      </c>
      <c r="B183" t="s">
        <v>30</v>
      </c>
      <c r="C183" t="s">
        <v>41</v>
      </c>
      <c r="D183" s="1">
        <v>45768</v>
      </c>
      <c r="E183" s="1">
        <v>45772</v>
      </c>
      <c r="F183">
        <v>5</v>
      </c>
      <c r="G183">
        <v>664</v>
      </c>
      <c r="H183" t="s">
        <v>27</v>
      </c>
      <c r="I183" t="s">
        <v>32</v>
      </c>
      <c r="J183" t="s">
        <v>18</v>
      </c>
      <c r="K183">
        <f>YEAR(D183)</f>
        <v>2025</v>
      </c>
      <c r="L183" t="str">
        <f>TEXT(D183,"mmm")</f>
        <v>Apr</v>
      </c>
      <c r="M183" t="str">
        <f>TEXT(D183,"ddd")</f>
        <v>Mon</v>
      </c>
      <c r="N183">
        <f>DATEDIF(D183, E183, "d")</f>
        <v>4</v>
      </c>
      <c r="O183">
        <f>ROUND(Table1[[#This Row],[Unit Price]]*Table1[[#This Row],[Quantity]]*VLOOKUP(C183,Table2[#All],2,FALSE),0)</f>
        <v>2158</v>
      </c>
      <c r="P183">
        <f>ROUND(F183*G183,0)</f>
        <v>3320</v>
      </c>
      <c r="Q183">
        <f>ROUND((G183*F183)-O183,0)</f>
        <v>1162</v>
      </c>
    </row>
    <row r="184" spans="1:17">
      <c r="A184" t="s">
        <v>204</v>
      </c>
      <c r="B184" t="s">
        <v>16</v>
      </c>
      <c r="C184" t="s">
        <v>59</v>
      </c>
      <c r="D184" s="1">
        <v>45551</v>
      </c>
      <c r="E184" s="1">
        <v>45558</v>
      </c>
      <c r="F184">
        <v>9</v>
      </c>
      <c r="G184">
        <v>30</v>
      </c>
      <c r="H184" t="s">
        <v>13</v>
      </c>
      <c r="I184" t="s">
        <v>549</v>
      </c>
      <c r="J184" t="s">
        <v>14</v>
      </c>
      <c r="K184">
        <f>YEAR(D184)</f>
        <v>2024</v>
      </c>
      <c r="L184" t="str">
        <f>TEXT(D184,"mmm")</f>
        <v>Sep</v>
      </c>
      <c r="M184" t="str">
        <f>TEXT(D184,"ddd")</f>
        <v>Mon</v>
      </c>
      <c r="N184">
        <f>DATEDIF(D184, E184, "d")</f>
        <v>7</v>
      </c>
      <c r="O184">
        <f>ROUND(Table1[[#This Row],[Unit Price]]*Table1[[#This Row],[Quantity]]*VLOOKUP(C184,Table2[#All],2,FALSE),0)</f>
        <v>176</v>
      </c>
      <c r="P184">
        <f>ROUND(F184*G184,0)</f>
        <v>270</v>
      </c>
      <c r="Q184">
        <f>ROUND((G184*F184)-O184,0)</f>
        <v>94</v>
      </c>
    </row>
    <row r="185" spans="1:17">
      <c r="A185" t="s">
        <v>416</v>
      </c>
      <c r="B185" t="s">
        <v>23</v>
      </c>
      <c r="C185" t="s">
        <v>24</v>
      </c>
      <c r="D185" s="1">
        <v>45932</v>
      </c>
      <c r="E185" s="1">
        <v>45942</v>
      </c>
      <c r="F185">
        <v>5</v>
      </c>
      <c r="G185">
        <v>50</v>
      </c>
      <c r="H185" t="s">
        <v>27</v>
      </c>
      <c r="I185" t="s">
        <v>546</v>
      </c>
      <c r="J185" t="s">
        <v>18</v>
      </c>
      <c r="K185">
        <f>YEAR(D185)</f>
        <v>2025</v>
      </c>
      <c r="L185" t="str">
        <f>TEXT(D185,"mmm")</f>
        <v>Oct</v>
      </c>
      <c r="M185" t="str">
        <f>TEXT(D185,"ddd")</f>
        <v>Thu</v>
      </c>
      <c r="N185">
        <f>DATEDIF(D185, E185, "d")</f>
        <v>10</v>
      </c>
      <c r="O185">
        <f>ROUND(Table1[[#This Row],[Unit Price]]*Table1[[#This Row],[Quantity]]*VLOOKUP(C185,Table2[#All],2,FALSE),0)</f>
        <v>138</v>
      </c>
      <c r="P185">
        <f>ROUND(F185*G185,0)</f>
        <v>250</v>
      </c>
      <c r="Q185">
        <f>ROUND((G185*F185)-O185,0)</f>
        <v>112</v>
      </c>
    </row>
    <row r="186" spans="1:17">
      <c r="A186" t="s">
        <v>401</v>
      </c>
      <c r="B186" t="s">
        <v>23</v>
      </c>
      <c r="C186" t="s">
        <v>37</v>
      </c>
      <c r="D186" s="1">
        <v>45732</v>
      </c>
      <c r="E186" s="1">
        <v>45745</v>
      </c>
      <c r="F186">
        <v>4</v>
      </c>
      <c r="G186">
        <v>468</v>
      </c>
      <c r="H186" t="s">
        <v>27</v>
      </c>
      <c r="I186" t="s">
        <v>548</v>
      </c>
      <c r="J186" t="s">
        <v>14</v>
      </c>
      <c r="K186">
        <f>YEAR(D186)</f>
        <v>2025</v>
      </c>
      <c r="L186" t="str">
        <f>TEXT(D186,"mmm")</f>
        <v>Mar</v>
      </c>
      <c r="M186" t="str">
        <f>TEXT(D186,"ddd")</f>
        <v>Sun</v>
      </c>
      <c r="N186">
        <f>DATEDIF(D186, E186, "d")</f>
        <v>13</v>
      </c>
      <c r="O186">
        <f>ROUND(Table1[[#This Row],[Unit Price]]*Table1[[#This Row],[Quantity]]*VLOOKUP(C186,Table2[#All],2,FALSE),0)</f>
        <v>936</v>
      </c>
      <c r="P186">
        <f>ROUND(F186*G186,0)</f>
        <v>1872</v>
      </c>
      <c r="Q186">
        <f>ROUND((G186*F186)-O186,0)</f>
        <v>936</v>
      </c>
    </row>
    <row r="187" spans="1:17">
      <c r="A187" t="s">
        <v>247</v>
      </c>
      <c r="B187" t="s">
        <v>23</v>
      </c>
      <c r="C187" t="s">
        <v>99</v>
      </c>
      <c r="D187" s="1">
        <v>45520</v>
      </c>
      <c r="E187" s="1">
        <v>45533</v>
      </c>
      <c r="F187">
        <v>5</v>
      </c>
      <c r="G187">
        <v>986</v>
      </c>
      <c r="H187" t="s">
        <v>27</v>
      </c>
      <c r="I187" t="s">
        <v>546</v>
      </c>
      <c r="J187" t="s">
        <v>14</v>
      </c>
      <c r="K187">
        <f>YEAR(D187)</f>
        <v>2024</v>
      </c>
      <c r="L187" t="str">
        <f>TEXT(D187,"mmm")</f>
        <v>Aug</v>
      </c>
      <c r="M187" t="str">
        <f>TEXT(D187,"ddd")</f>
        <v>Fri</v>
      </c>
      <c r="N187">
        <f>DATEDIF(D187, E187, "d")</f>
        <v>13</v>
      </c>
      <c r="O187">
        <f>ROUND(Table1[[#This Row],[Unit Price]]*Table1[[#This Row],[Quantity]]*VLOOKUP(C187,Table2[#All],2,FALSE),0)</f>
        <v>2958</v>
      </c>
      <c r="P187">
        <f>ROUND(F187*G187,0)</f>
        <v>4930</v>
      </c>
      <c r="Q187">
        <f>ROUND((G187*F187)-O187,0)</f>
        <v>1972</v>
      </c>
    </row>
    <row r="188" spans="1:17">
      <c r="A188" t="s">
        <v>375</v>
      </c>
      <c r="B188" t="s">
        <v>30</v>
      </c>
      <c r="C188" t="s">
        <v>41</v>
      </c>
      <c r="D188" s="1">
        <v>45887</v>
      </c>
      <c r="E188" s="1">
        <v>45896</v>
      </c>
      <c r="F188">
        <v>9</v>
      </c>
      <c r="G188">
        <v>385</v>
      </c>
      <c r="H188" t="s">
        <v>27</v>
      </c>
      <c r="I188" t="s">
        <v>32</v>
      </c>
      <c r="J188" t="s">
        <v>28</v>
      </c>
      <c r="K188">
        <f>YEAR(D188)</f>
        <v>2025</v>
      </c>
      <c r="L188" t="str">
        <f>TEXT(D188,"mmm")</f>
        <v>Aug</v>
      </c>
      <c r="M188" t="str">
        <f>TEXT(D188,"ddd")</f>
        <v>Mon</v>
      </c>
      <c r="N188">
        <f>DATEDIF(D188, E188, "d")</f>
        <v>9</v>
      </c>
      <c r="O188">
        <f>ROUND(Table1[[#This Row],[Unit Price]]*Table1[[#This Row],[Quantity]]*VLOOKUP(C188,Table2[#All],2,FALSE),0)</f>
        <v>2252</v>
      </c>
      <c r="P188">
        <f>ROUND(F188*G188,0)</f>
        <v>3465</v>
      </c>
      <c r="Q188">
        <f>ROUND((G188*F188)-O188,0)</f>
        <v>1213</v>
      </c>
    </row>
    <row r="189" spans="1:17">
      <c r="A189" t="s">
        <v>306</v>
      </c>
      <c r="B189" t="s">
        <v>20</v>
      </c>
      <c r="C189" t="s">
        <v>21</v>
      </c>
      <c r="D189" s="1">
        <v>45579</v>
      </c>
      <c r="E189" s="1">
        <v>45593</v>
      </c>
      <c r="F189">
        <v>9</v>
      </c>
      <c r="G189">
        <v>678</v>
      </c>
      <c r="H189" t="s">
        <v>27</v>
      </c>
      <c r="I189" t="s">
        <v>549</v>
      </c>
      <c r="J189" t="s">
        <v>45</v>
      </c>
      <c r="K189">
        <f>YEAR(D189)</f>
        <v>2024</v>
      </c>
      <c r="L189" t="str">
        <f>TEXT(D189,"mmm")</f>
        <v>Oct</v>
      </c>
      <c r="M189" t="str">
        <f>TEXT(D189,"ddd")</f>
        <v>Mon</v>
      </c>
      <c r="N189">
        <f>DATEDIF(D189, E189, "d")</f>
        <v>14</v>
      </c>
      <c r="O189">
        <f>ROUND(Table1[[#This Row],[Unit Price]]*Table1[[#This Row],[Quantity]]*VLOOKUP(C189,Table2[#All],2,FALSE),0)</f>
        <v>4577</v>
      </c>
      <c r="P189">
        <f>ROUND(F189*G189,0)</f>
        <v>6102</v>
      </c>
      <c r="Q189">
        <f>ROUND((G189*F189)-O189,0)</f>
        <v>1525</v>
      </c>
    </row>
    <row r="190" spans="1:17">
      <c r="A190" t="s">
        <v>142</v>
      </c>
      <c r="B190" t="s">
        <v>20</v>
      </c>
      <c r="C190" t="s">
        <v>39</v>
      </c>
      <c r="D190" s="1">
        <v>45532</v>
      </c>
      <c r="E190" s="1">
        <v>45539</v>
      </c>
      <c r="F190">
        <v>5</v>
      </c>
      <c r="G190">
        <v>356</v>
      </c>
      <c r="H190" t="s">
        <v>27</v>
      </c>
      <c r="I190" t="s">
        <v>32</v>
      </c>
      <c r="J190" t="s">
        <v>14</v>
      </c>
      <c r="K190">
        <f>YEAR(D190)</f>
        <v>2024</v>
      </c>
      <c r="L190" t="str">
        <f>TEXT(D190,"mmm")</f>
        <v>Aug</v>
      </c>
      <c r="M190" t="str">
        <f>TEXT(D190,"ddd")</f>
        <v>Wed</v>
      </c>
      <c r="N190">
        <f>DATEDIF(D190, E190, "d")</f>
        <v>7</v>
      </c>
      <c r="O190">
        <f>ROUND(Table1[[#This Row],[Unit Price]]*Table1[[#This Row],[Quantity]]*VLOOKUP(C190,Table2[#All],2,FALSE),0)</f>
        <v>1157</v>
      </c>
      <c r="P190">
        <f>ROUND(F190*G190,0)</f>
        <v>1780</v>
      </c>
      <c r="Q190">
        <f>ROUND((G190*F190)-O190,0)</f>
        <v>623</v>
      </c>
    </row>
    <row r="191" spans="1:17">
      <c r="A191" t="s">
        <v>81</v>
      </c>
      <c r="B191" t="s">
        <v>20</v>
      </c>
      <c r="C191" t="s">
        <v>82</v>
      </c>
      <c r="D191" s="1">
        <v>45396</v>
      </c>
      <c r="E191" s="1">
        <v>45410</v>
      </c>
      <c r="F191">
        <v>5</v>
      </c>
      <c r="G191">
        <v>527</v>
      </c>
      <c r="H191" t="s">
        <v>13</v>
      </c>
      <c r="I191" t="s">
        <v>549</v>
      </c>
      <c r="J191" t="s">
        <v>18</v>
      </c>
      <c r="K191">
        <f>YEAR(D191)</f>
        <v>2024</v>
      </c>
      <c r="L191" t="str">
        <f>TEXT(D191,"mmm")</f>
        <v>Apr</v>
      </c>
      <c r="M191" t="str">
        <f>TEXT(D191,"ddd")</f>
        <v>Sun</v>
      </c>
      <c r="N191">
        <f>DATEDIF(D191, E191, "d")</f>
        <v>14</v>
      </c>
      <c r="O191">
        <f>ROUND(Table1[[#This Row],[Unit Price]]*Table1[[#This Row],[Quantity]]*VLOOKUP(C191,Table2[#All],2,FALSE),0)</f>
        <v>2108</v>
      </c>
      <c r="P191">
        <f>ROUND(F191*G191,0)</f>
        <v>2635</v>
      </c>
      <c r="Q191">
        <f>ROUND((G191*F191)-O191,0)</f>
        <v>527</v>
      </c>
    </row>
    <row r="192" spans="1:17">
      <c r="A192" t="s">
        <v>81</v>
      </c>
      <c r="B192" t="s">
        <v>23</v>
      </c>
      <c r="C192" t="s">
        <v>24</v>
      </c>
      <c r="D192" s="1">
        <v>45733</v>
      </c>
      <c r="E192" s="1">
        <v>45736</v>
      </c>
      <c r="F192">
        <v>8</v>
      </c>
      <c r="G192">
        <v>858</v>
      </c>
      <c r="H192" t="s">
        <v>27</v>
      </c>
      <c r="I192" t="s">
        <v>546</v>
      </c>
      <c r="J192" t="s">
        <v>18</v>
      </c>
      <c r="K192">
        <f>YEAR(D192)</f>
        <v>2025</v>
      </c>
      <c r="L192" t="str">
        <f>TEXT(D192,"mmm")</f>
        <v>Mar</v>
      </c>
      <c r="M192" t="str">
        <f>TEXT(D192,"ddd")</f>
        <v>Mon</v>
      </c>
      <c r="N192">
        <f>DATEDIF(D192, E192, "d")</f>
        <v>3</v>
      </c>
      <c r="O192">
        <f>ROUND(Table1[[#This Row],[Unit Price]]*Table1[[#This Row],[Quantity]]*VLOOKUP(C192,Table2[#All],2,FALSE),0)</f>
        <v>3775</v>
      </c>
      <c r="P192">
        <f>ROUND(F192*G192,0)</f>
        <v>6864</v>
      </c>
      <c r="Q192">
        <f>ROUND((G192*F192)-O192,0)</f>
        <v>3089</v>
      </c>
    </row>
    <row r="193" spans="1:17">
      <c r="A193" t="s">
        <v>171</v>
      </c>
      <c r="B193" t="s">
        <v>16</v>
      </c>
      <c r="C193" t="s">
        <v>55</v>
      </c>
      <c r="D193" s="1">
        <v>45350</v>
      </c>
      <c r="E193" s="1">
        <v>45354</v>
      </c>
      <c r="F193">
        <v>5</v>
      </c>
      <c r="G193">
        <v>597</v>
      </c>
      <c r="H193" t="s">
        <v>27</v>
      </c>
      <c r="I193" t="s">
        <v>550</v>
      </c>
      <c r="J193" t="s">
        <v>45</v>
      </c>
      <c r="K193">
        <f>YEAR(D193)</f>
        <v>2024</v>
      </c>
      <c r="L193" t="str">
        <f>TEXT(D193,"mmm")</f>
        <v>Feb</v>
      </c>
      <c r="M193" t="str">
        <f>TEXT(D193,"ddd")</f>
        <v>Wed</v>
      </c>
      <c r="N193">
        <f>DATEDIF(D193, E193, "d")</f>
        <v>4</v>
      </c>
      <c r="O193">
        <f>ROUND(Table1[[#This Row],[Unit Price]]*Table1[[#This Row],[Quantity]]*VLOOKUP(C193,Table2[#All],2,FALSE),0)</f>
        <v>1642</v>
      </c>
      <c r="P193">
        <f>ROUND(F193*G193,0)</f>
        <v>2985</v>
      </c>
      <c r="Q193">
        <f>ROUND((G193*F193)-O193,0)</f>
        <v>1343</v>
      </c>
    </row>
    <row r="194" spans="1:17">
      <c r="A194" t="s">
        <v>328</v>
      </c>
      <c r="B194" t="s">
        <v>30</v>
      </c>
      <c r="C194" t="s">
        <v>31</v>
      </c>
      <c r="D194" s="1">
        <v>45641</v>
      </c>
      <c r="E194" s="1">
        <v>45646</v>
      </c>
      <c r="F194">
        <v>3</v>
      </c>
      <c r="G194">
        <v>791</v>
      </c>
      <c r="H194" t="s">
        <v>13</v>
      </c>
      <c r="I194" t="s">
        <v>549</v>
      </c>
      <c r="J194" t="s">
        <v>14</v>
      </c>
      <c r="K194">
        <f>YEAR(D194)</f>
        <v>2024</v>
      </c>
      <c r="L194" t="str">
        <f>TEXT(D194,"mmm")</f>
        <v>Dec</v>
      </c>
      <c r="M194" t="str">
        <f>TEXT(D194,"ddd")</f>
        <v>Sun</v>
      </c>
      <c r="N194">
        <f>DATEDIF(D194, E194, "d")</f>
        <v>5</v>
      </c>
      <c r="O194">
        <f>ROUND(Table1[[#This Row],[Unit Price]]*Table1[[#This Row],[Quantity]]*VLOOKUP(C194,Table2[#All],2,FALSE),0)</f>
        <v>1780</v>
      </c>
      <c r="P194">
        <f>ROUND(F194*G194,0)</f>
        <v>2373</v>
      </c>
      <c r="Q194">
        <f>ROUND((G194*F194)-O194,0)</f>
        <v>593</v>
      </c>
    </row>
    <row r="195" spans="1:17">
      <c r="A195" t="s">
        <v>340</v>
      </c>
      <c r="B195" t="s">
        <v>16</v>
      </c>
      <c r="C195" t="s">
        <v>55</v>
      </c>
      <c r="D195" s="1">
        <v>45617</v>
      </c>
      <c r="E195" s="1">
        <v>45621</v>
      </c>
      <c r="F195">
        <v>1</v>
      </c>
      <c r="G195">
        <v>983</v>
      </c>
      <c r="H195" t="s">
        <v>27</v>
      </c>
      <c r="I195" t="s">
        <v>546</v>
      </c>
      <c r="J195" t="s">
        <v>18</v>
      </c>
      <c r="K195">
        <f>YEAR(D195)</f>
        <v>2024</v>
      </c>
      <c r="L195" t="str">
        <f>TEXT(D195,"mmm")</f>
        <v>Nov</v>
      </c>
      <c r="M195" t="str">
        <f>TEXT(D195,"ddd")</f>
        <v>Thu</v>
      </c>
      <c r="N195">
        <f>DATEDIF(D195, E195, "d")</f>
        <v>4</v>
      </c>
      <c r="O195">
        <f>ROUND(Table1[[#This Row],[Unit Price]]*Table1[[#This Row],[Quantity]]*VLOOKUP(C195,Table2[#All],2,FALSE),0)</f>
        <v>541</v>
      </c>
      <c r="P195">
        <f>ROUND(F195*G195,0)</f>
        <v>983</v>
      </c>
      <c r="Q195">
        <f>ROUND((G195*F195)-O195,0)</f>
        <v>442</v>
      </c>
    </row>
    <row r="196" spans="1:17">
      <c r="A196" t="s">
        <v>485</v>
      </c>
      <c r="B196" t="s">
        <v>20</v>
      </c>
      <c r="C196" t="s">
        <v>21</v>
      </c>
      <c r="D196" s="1">
        <v>45839</v>
      </c>
      <c r="E196" s="1">
        <v>45846</v>
      </c>
      <c r="F196">
        <v>1</v>
      </c>
      <c r="G196">
        <v>284</v>
      </c>
      <c r="H196" t="s">
        <v>13</v>
      </c>
      <c r="I196" t="s">
        <v>549</v>
      </c>
      <c r="J196" t="s">
        <v>45</v>
      </c>
      <c r="K196">
        <f>YEAR(D196)</f>
        <v>2025</v>
      </c>
      <c r="L196" t="str">
        <f>TEXT(D196,"mmm")</f>
        <v>Jul</v>
      </c>
      <c r="M196" t="str">
        <f>TEXT(D196,"ddd")</f>
        <v>Tue</v>
      </c>
      <c r="N196">
        <f>DATEDIF(D196, E196, "d")</f>
        <v>7</v>
      </c>
      <c r="O196">
        <f>ROUND(Table1[[#This Row],[Unit Price]]*Table1[[#This Row],[Quantity]]*VLOOKUP(C196,Table2[#All],2,FALSE),0)</f>
        <v>213</v>
      </c>
      <c r="P196">
        <f>ROUND(F196*G196,0)</f>
        <v>284</v>
      </c>
      <c r="Q196">
        <f>ROUND((G196*F196)-O196,0)</f>
        <v>71</v>
      </c>
    </row>
    <row r="197" spans="1:17">
      <c r="A197" t="s">
        <v>408</v>
      </c>
      <c r="B197" t="s">
        <v>11</v>
      </c>
      <c r="C197" t="s">
        <v>26</v>
      </c>
      <c r="D197" s="1">
        <v>45931</v>
      </c>
      <c r="E197" s="1">
        <v>45936</v>
      </c>
      <c r="F197">
        <v>8</v>
      </c>
      <c r="G197">
        <v>731</v>
      </c>
      <c r="H197" t="s">
        <v>13</v>
      </c>
      <c r="I197" t="s">
        <v>546</v>
      </c>
      <c r="J197" t="s">
        <v>45</v>
      </c>
      <c r="K197">
        <f>YEAR(D197)</f>
        <v>2025</v>
      </c>
      <c r="L197" t="str">
        <f>TEXT(D197,"mmm")</f>
        <v>Oct</v>
      </c>
      <c r="M197" t="str">
        <f>TEXT(D197,"ddd")</f>
        <v>Wed</v>
      </c>
      <c r="N197">
        <f>DATEDIF(D197, E197, "d")</f>
        <v>5</v>
      </c>
      <c r="O197">
        <f>ROUND(Table1[[#This Row],[Unit Price]]*Table1[[#This Row],[Quantity]]*VLOOKUP(C197,Table2[#All],2,FALSE),0)</f>
        <v>3801</v>
      </c>
      <c r="P197">
        <f>ROUND(F197*G197,0)</f>
        <v>5848</v>
      </c>
      <c r="Q197">
        <f>ROUND((G197*F197)-O197,0)</f>
        <v>2047</v>
      </c>
    </row>
    <row r="198" spans="1:17">
      <c r="A198" t="s">
        <v>317</v>
      </c>
      <c r="B198" t="s">
        <v>16</v>
      </c>
      <c r="C198" t="s">
        <v>43</v>
      </c>
      <c r="D198" s="1">
        <v>45467</v>
      </c>
      <c r="E198" s="1">
        <v>45471</v>
      </c>
      <c r="F198">
        <v>1</v>
      </c>
      <c r="G198">
        <v>57</v>
      </c>
      <c r="H198" t="s">
        <v>13</v>
      </c>
      <c r="I198" t="s">
        <v>547</v>
      </c>
      <c r="J198" t="s">
        <v>28</v>
      </c>
      <c r="K198">
        <f>YEAR(D198)</f>
        <v>2024</v>
      </c>
      <c r="L198" t="str">
        <f>TEXT(D198,"mmm")</f>
        <v>Jun</v>
      </c>
      <c r="M198" t="str">
        <f>TEXT(D198,"ddd")</f>
        <v>Mon</v>
      </c>
      <c r="N198">
        <f>DATEDIF(D198, E198, "d")</f>
        <v>4</v>
      </c>
      <c r="O198">
        <f>ROUND(Table1[[#This Row],[Unit Price]]*Table1[[#This Row],[Quantity]]*VLOOKUP(C198,Table2[#All],2,FALSE),0)</f>
        <v>34</v>
      </c>
      <c r="P198">
        <f>ROUND(F198*G198,0)</f>
        <v>57</v>
      </c>
      <c r="Q198">
        <f>ROUND((G198*F198)-O198,0)</f>
        <v>23</v>
      </c>
    </row>
    <row r="199" spans="1:17">
      <c r="A199" t="s">
        <v>321</v>
      </c>
      <c r="B199" t="s">
        <v>23</v>
      </c>
      <c r="C199" t="s">
        <v>114</v>
      </c>
      <c r="D199" s="1">
        <v>45359</v>
      </c>
      <c r="E199" s="1">
        <v>45366</v>
      </c>
      <c r="F199">
        <v>10</v>
      </c>
      <c r="G199">
        <v>241</v>
      </c>
      <c r="H199" t="s">
        <v>13</v>
      </c>
      <c r="I199" t="s">
        <v>551</v>
      </c>
      <c r="J199" t="s">
        <v>18</v>
      </c>
      <c r="K199">
        <f>YEAR(D199)</f>
        <v>2024</v>
      </c>
      <c r="L199" t="str">
        <f>TEXT(D199,"mmm")</f>
        <v>Mar</v>
      </c>
      <c r="M199" t="str">
        <f>TEXT(D199,"ddd")</f>
        <v>Fri</v>
      </c>
      <c r="N199">
        <f>DATEDIF(D199, E199, "d")</f>
        <v>7</v>
      </c>
      <c r="O199">
        <f>ROUND(Table1[[#This Row],[Unit Price]]*Table1[[#This Row],[Quantity]]*VLOOKUP(C199,Table2[#All],2,FALSE),0)</f>
        <v>1446</v>
      </c>
      <c r="P199">
        <f>ROUND(F199*G199,0)</f>
        <v>2410</v>
      </c>
      <c r="Q199">
        <f>ROUND((G199*F199)-O199,0)</f>
        <v>964</v>
      </c>
    </row>
    <row r="200" spans="1:17">
      <c r="A200" t="s">
        <v>407</v>
      </c>
      <c r="B200" t="s">
        <v>23</v>
      </c>
      <c r="C200" t="s">
        <v>69</v>
      </c>
      <c r="D200" s="1">
        <v>45858</v>
      </c>
      <c r="E200" s="1">
        <v>45866</v>
      </c>
      <c r="F200">
        <v>7</v>
      </c>
      <c r="G200">
        <v>474</v>
      </c>
      <c r="H200" t="s">
        <v>13</v>
      </c>
      <c r="I200" t="s">
        <v>549</v>
      </c>
      <c r="J200" t="s">
        <v>14</v>
      </c>
      <c r="K200">
        <f>YEAR(D200)</f>
        <v>2025</v>
      </c>
      <c r="L200" t="str">
        <f>TEXT(D200,"mmm")</f>
        <v>Jul</v>
      </c>
      <c r="M200" t="str">
        <f>TEXT(D200,"ddd")</f>
        <v>Sun</v>
      </c>
      <c r="N200">
        <f>DATEDIF(D200, E200, "d")</f>
        <v>8</v>
      </c>
      <c r="O200">
        <f>ROUND(Table1[[#This Row],[Unit Price]]*Table1[[#This Row],[Quantity]]*VLOOKUP(C200,Table2[#All],2,FALSE),0)</f>
        <v>1825</v>
      </c>
      <c r="P200">
        <f>ROUND(F200*G200,0)</f>
        <v>3318</v>
      </c>
      <c r="Q200">
        <f>ROUND((G200*F200)-O200,0)</f>
        <v>1493</v>
      </c>
    </row>
    <row r="201" spans="1:17">
      <c r="A201" t="s">
        <v>477</v>
      </c>
      <c r="B201" t="s">
        <v>20</v>
      </c>
      <c r="C201" t="s">
        <v>82</v>
      </c>
      <c r="D201" s="1">
        <v>45925</v>
      </c>
      <c r="E201" s="1">
        <v>45930</v>
      </c>
      <c r="F201">
        <v>6</v>
      </c>
      <c r="G201">
        <v>993</v>
      </c>
      <c r="H201" t="s">
        <v>27</v>
      </c>
      <c r="I201" t="s">
        <v>546</v>
      </c>
      <c r="J201" t="s">
        <v>14</v>
      </c>
      <c r="K201">
        <f>YEAR(D201)</f>
        <v>2025</v>
      </c>
      <c r="L201" t="str">
        <f>TEXT(D201,"mmm")</f>
        <v>Sep</v>
      </c>
      <c r="M201" t="str">
        <f>TEXT(D201,"ddd")</f>
        <v>Thu</v>
      </c>
      <c r="N201">
        <f>DATEDIF(D201, E201, "d")</f>
        <v>5</v>
      </c>
      <c r="O201">
        <f>ROUND(Table1[[#This Row],[Unit Price]]*Table1[[#This Row],[Quantity]]*VLOOKUP(C201,Table2[#All],2,FALSE),0)</f>
        <v>4766</v>
      </c>
      <c r="P201">
        <f>ROUND(F201*G201,0)</f>
        <v>5958</v>
      </c>
      <c r="Q201">
        <f>ROUND((G201*F201)-O201,0)</f>
        <v>1192</v>
      </c>
    </row>
    <row r="202" spans="1:17">
      <c r="A202" t="s">
        <v>339</v>
      </c>
      <c r="B202" t="s">
        <v>20</v>
      </c>
      <c r="C202" t="s">
        <v>51</v>
      </c>
      <c r="D202" s="1">
        <v>45417</v>
      </c>
      <c r="E202" s="1">
        <v>45421</v>
      </c>
      <c r="F202">
        <v>3</v>
      </c>
      <c r="G202">
        <v>16</v>
      </c>
      <c r="H202" t="s">
        <v>13</v>
      </c>
      <c r="I202" t="s">
        <v>549</v>
      </c>
      <c r="J202" t="s">
        <v>28</v>
      </c>
      <c r="K202">
        <f>YEAR(D202)</f>
        <v>2024</v>
      </c>
      <c r="L202" t="str">
        <f>TEXT(D202,"mmm")</f>
        <v>May</v>
      </c>
      <c r="M202" t="str">
        <f>TEXT(D202,"ddd")</f>
        <v>Sun</v>
      </c>
      <c r="N202">
        <f>DATEDIF(D202, E202, "d")</f>
        <v>4</v>
      </c>
      <c r="O202">
        <f>ROUND(Table1[[#This Row],[Unit Price]]*Table1[[#This Row],[Quantity]]*VLOOKUP(C202,Table2[#All],2,FALSE),0)</f>
        <v>34</v>
      </c>
      <c r="P202">
        <f>ROUND(F202*G202,0)</f>
        <v>48</v>
      </c>
      <c r="Q202">
        <f>ROUND((G202*F202)-O202,0)</f>
        <v>14</v>
      </c>
    </row>
    <row r="203" spans="1:17">
      <c r="A203" t="s">
        <v>497</v>
      </c>
      <c r="B203" t="s">
        <v>11</v>
      </c>
      <c r="C203" t="s">
        <v>35</v>
      </c>
      <c r="D203" s="1">
        <v>45739</v>
      </c>
      <c r="E203" s="1">
        <v>45745</v>
      </c>
      <c r="F203">
        <v>3</v>
      </c>
      <c r="G203">
        <v>561</v>
      </c>
      <c r="H203" t="s">
        <v>13</v>
      </c>
      <c r="I203" t="s">
        <v>32</v>
      </c>
      <c r="J203" t="s">
        <v>28</v>
      </c>
      <c r="K203">
        <f>YEAR(D203)</f>
        <v>2025</v>
      </c>
      <c r="L203" t="str">
        <f>TEXT(D203,"mmm")</f>
        <v>Mar</v>
      </c>
      <c r="M203" t="str">
        <f>TEXT(D203,"ddd")</f>
        <v>Sun</v>
      </c>
      <c r="N203">
        <f>DATEDIF(D203, E203, "d")</f>
        <v>6</v>
      </c>
      <c r="O203">
        <f>ROUND(Table1[[#This Row],[Unit Price]]*Table1[[#This Row],[Quantity]]*VLOOKUP(C203,Table2[#All],2,FALSE),0)</f>
        <v>1346</v>
      </c>
      <c r="P203">
        <f>ROUND(F203*G203,0)</f>
        <v>1683</v>
      </c>
      <c r="Q203">
        <f>ROUND((G203*F203)-O203,0)</f>
        <v>337</v>
      </c>
    </row>
    <row r="204" spans="1:17">
      <c r="A204" t="s">
        <v>148</v>
      </c>
      <c r="B204" t="s">
        <v>20</v>
      </c>
      <c r="C204" t="s">
        <v>39</v>
      </c>
      <c r="D204" s="1">
        <v>45613</v>
      </c>
      <c r="E204" s="1">
        <v>45619</v>
      </c>
      <c r="F204">
        <v>1</v>
      </c>
      <c r="G204">
        <v>326</v>
      </c>
      <c r="H204" t="s">
        <v>13</v>
      </c>
      <c r="I204" t="s">
        <v>548</v>
      </c>
      <c r="J204" t="s">
        <v>45</v>
      </c>
      <c r="K204">
        <f>YEAR(D204)</f>
        <v>2024</v>
      </c>
      <c r="L204" t="str">
        <f>TEXT(D204,"mmm")</f>
        <v>Nov</v>
      </c>
      <c r="M204" t="str">
        <f>TEXT(D204,"ddd")</f>
        <v>Sun</v>
      </c>
      <c r="N204">
        <f>DATEDIF(D204, E204, "d")</f>
        <v>6</v>
      </c>
      <c r="O204">
        <f>ROUND(Table1[[#This Row],[Unit Price]]*Table1[[#This Row],[Quantity]]*VLOOKUP(C204,Table2[#All],2,FALSE),0)</f>
        <v>212</v>
      </c>
      <c r="P204">
        <f>ROUND(F204*G204,0)</f>
        <v>326</v>
      </c>
      <c r="Q204">
        <f>ROUND((G204*F204)-O204,0)</f>
        <v>114</v>
      </c>
    </row>
    <row r="205" spans="1:17">
      <c r="A205" t="s">
        <v>299</v>
      </c>
      <c r="B205" t="s">
        <v>11</v>
      </c>
      <c r="C205" t="s">
        <v>35</v>
      </c>
      <c r="D205" s="1">
        <v>45393</v>
      </c>
      <c r="E205" s="1">
        <v>45403</v>
      </c>
      <c r="F205">
        <v>8</v>
      </c>
      <c r="G205">
        <v>616</v>
      </c>
      <c r="H205" t="s">
        <v>13</v>
      </c>
      <c r="I205" t="s">
        <v>549</v>
      </c>
      <c r="J205" t="s">
        <v>28</v>
      </c>
      <c r="K205">
        <f>YEAR(D205)</f>
        <v>2024</v>
      </c>
      <c r="L205" t="str">
        <f>TEXT(D205,"mmm")</f>
        <v>Apr</v>
      </c>
      <c r="M205" t="str">
        <f>TEXT(D205,"ddd")</f>
        <v>Thu</v>
      </c>
      <c r="N205">
        <f>DATEDIF(D205, E205, "d")</f>
        <v>10</v>
      </c>
      <c r="O205">
        <f>ROUND(Table1[[#This Row],[Unit Price]]*Table1[[#This Row],[Quantity]]*VLOOKUP(C205,Table2[#All],2,FALSE),0)</f>
        <v>3942</v>
      </c>
      <c r="P205">
        <f>ROUND(F205*G205,0)</f>
        <v>4928</v>
      </c>
      <c r="Q205">
        <f>ROUND((G205*F205)-O205,0)</f>
        <v>986</v>
      </c>
    </row>
    <row r="206" spans="1:17">
      <c r="A206" t="s">
        <v>367</v>
      </c>
      <c r="B206" t="s">
        <v>20</v>
      </c>
      <c r="C206" t="s">
        <v>53</v>
      </c>
      <c r="D206" s="1">
        <v>45793</v>
      </c>
      <c r="E206" s="1">
        <v>45799</v>
      </c>
      <c r="F206">
        <v>10</v>
      </c>
      <c r="G206">
        <v>434</v>
      </c>
      <c r="H206" t="s">
        <v>13</v>
      </c>
      <c r="I206" t="s">
        <v>549</v>
      </c>
      <c r="J206" t="s">
        <v>14</v>
      </c>
      <c r="K206">
        <f>YEAR(D206)</f>
        <v>2025</v>
      </c>
      <c r="L206" t="str">
        <f>TEXT(D206,"mmm")</f>
        <v>May</v>
      </c>
      <c r="M206" t="str">
        <f>TEXT(D206,"ddd")</f>
        <v>Fri</v>
      </c>
      <c r="N206">
        <f>DATEDIF(D206, E206, "d")</f>
        <v>6</v>
      </c>
      <c r="O206">
        <f>ROUND(Table1[[#This Row],[Unit Price]]*Table1[[#This Row],[Quantity]]*VLOOKUP(C206,Table2[#All],2,FALSE),0)</f>
        <v>3038</v>
      </c>
      <c r="P206">
        <f>ROUND(F206*G206,0)</f>
        <v>4340</v>
      </c>
      <c r="Q206">
        <f>ROUND((G206*F206)-O206,0)</f>
        <v>1302</v>
      </c>
    </row>
    <row r="207" spans="1:17">
      <c r="A207" t="s">
        <v>143</v>
      </c>
      <c r="B207" t="s">
        <v>11</v>
      </c>
      <c r="C207" t="s">
        <v>95</v>
      </c>
      <c r="D207" s="1">
        <v>45637</v>
      </c>
      <c r="E207" s="1">
        <v>45649</v>
      </c>
      <c r="F207">
        <v>9</v>
      </c>
      <c r="G207">
        <v>399</v>
      </c>
      <c r="H207" t="s">
        <v>27</v>
      </c>
      <c r="I207" t="s">
        <v>546</v>
      </c>
      <c r="J207" t="s">
        <v>14</v>
      </c>
      <c r="K207">
        <f>YEAR(D207)</f>
        <v>2024</v>
      </c>
      <c r="L207" t="str">
        <f>TEXT(D207,"mmm")</f>
        <v>Dec</v>
      </c>
      <c r="M207" t="str">
        <f>TEXT(D207,"ddd")</f>
        <v>Wed</v>
      </c>
      <c r="N207">
        <f>DATEDIF(D207, E207, "d")</f>
        <v>12</v>
      </c>
      <c r="O207">
        <f>ROUND(Table1[[#This Row],[Unit Price]]*Table1[[#This Row],[Quantity]]*VLOOKUP(C207,Table2[#All],2,FALSE),0)</f>
        <v>2514</v>
      </c>
      <c r="P207">
        <f>ROUND(F207*G207,0)</f>
        <v>3591</v>
      </c>
      <c r="Q207">
        <f>ROUND((G207*F207)-O207,0)</f>
        <v>1077</v>
      </c>
    </row>
    <row r="208" spans="1:17">
      <c r="A208" t="s">
        <v>229</v>
      </c>
      <c r="B208" t="s">
        <v>23</v>
      </c>
      <c r="C208" t="s">
        <v>69</v>
      </c>
      <c r="D208" s="1">
        <v>45445</v>
      </c>
      <c r="E208" s="1">
        <v>45458</v>
      </c>
      <c r="F208">
        <v>10</v>
      </c>
      <c r="G208">
        <v>354</v>
      </c>
      <c r="H208" t="s">
        <v>27</v>
      </c>
      <c r="I208" t="s">
        <v>32</v>
      </c>
      <c r="J208" t="s">
        <v>45</v>
      </c>
      <c r="K208">
        <f>YEAR(D208)</f>
        <v>2024</v>
      </c>
      <c r="L208" t="str">
        <f>TEXT(D208,"mmm")</f>
        <v>Jun</v>
      </c>
      <c r="M208" t="str">
        <f>TEXT(D208,"ddd")</f>
        <v>Sun</v>
      </c>
      <c r="N208">
        <f>DATEDIF(D208, E208, "d")</f>
        <v>13</v>
      </c>
      <c r="O208">
        <f>ROUND(Table1[[#This Row],[Unit Price]]*Table1[[#This Row],[Quantity]]*VLOOKUP(C208,Table2[#All],2,FALSE),0)</f>
        <v>1947</v>
      </c>
      <c r="P208">
        <f>ROUND(F208*G208,0)</f>
        <v>3540</v>
      </c>
      <c r="Q208">
        <f>ROUND((G208*F208)-O208,0)</f>
        <v>1593</v>
      </c>
    </row>
    <row r="209" spans="1:17">
      <c r="A209" t="s">
        <v>349</v>
      </c>
      <c r="B209" t="s">
        <v>20</v>
      </c>
      <c r="C209" t="s">
        <v>21</v>
      </c>
      <c r="D209" s="1">
        <v>45482</v>
      </c>
      <c r="E209" s="1">
        <v>45493</v>
      </c>
      <c r="F209">
        <v>2</v>
      </c>
      <c r="G209">
        <v>606</v>
      </c>
      <c r="H209" t="s">
        <v>13</v>
      </c>
      <c r="I209" t="s">
        <v>551</v>
      </c>
      <c r="J209" t="s">
        <v>14</v>
      </c>
      <c r="K209">
        <f>YEAR(D209)</f>
        <v>2024</v>
      </c>
      <c r="L209" t="str">
        <f>TEXT(D209,"mmm")</f>
        <v>Jul</v>
      </c>
      <c r="M209" t="str">
        <f>TEXT(D209,"ddd")</f>
        <v>Tue</v>
      </c>
      <c r="N209">
        <f>DATEDIF(D209, E209, "d")</f>
        <v>11</v>
      </c>
      <c r="O209">
        <f>ROUND(Table1[[#This Row],[Unit Price]]*Table1[[#This Row],[Quantity]]*VLOOKUP(C209,Table2[#All],2,FALSE),0)</f>
        <v>909</v>
      </c>
      <c r="P209">
        <f>ROUND(F209*G209,0)</f>
        <v>1212</v>
      </c>
      <c r="Q209">
        <f>ROUND((G209*F209)-O209,0)</f>
        <v>303</v>
      </c>
    </row>
    <row r="210" spans="1:17">
      <c r="A210" t="s">
        <v>521</v>
      </c>
      <c r="B210" t="s">
        <v>30</v>
      </c>
      <c r="C210" t="s">
        <v>41</v>
      </c>
      <c r="D210" s="1">
        <v>45938</v>
      </c>
      <c r="E210" s="1">
        <v>45940</v>
      </c>
      <c r="F210">
        <v>5</v>
      </c>
      <c r="G210">
        <v>720</v>
      </c>
      <c r="H210" t="s">
        <v>13</v>
      </c>
      <c r="I210" t="s">
        <v>550</v>
      </c>
      <c r="J210" t="s">
        <v>28</v>
      </c>
      <c r="K210">
        <f>YEAR(D210)</f>
        <v>2025</v>
      </c>
      <c r="L210" t="str">
        <f>TEXT(D210,"mmm")</f>
        <v>Oct</v>
      </c>
      <c r="M210" t="str">
        <f>TEXT(D210,"ddd")</f>
        <v>Wed</v>
      </c>
      <c r="N210">
        <f>DATEDIF(D210, E210, "d")</f>
        <v>2</v>
      </c>
      <c r="O210">
        <f>ROUND(Table1[[#This Row],[Unit Price]]*Table1[[#This Row],[Quantity]]*VLOOKUP(C210,Table2[#All],2,FALSE),0)</f>
        <v>2340</v>
      </c>
      <c r="P210">
        <f>ROUND(F210*G210,0)</f>
        <v>3600</v>
      </c>
      <c r="Q210">
        <f>ROUND((G210*F210)-O210,0)</f>
        <v>1260</v>
      </c>
    </row>
    <row r="211" spans="1:17">
      <c r="A211" t="s">
        <v>508</v>
      </c>
      <c r="B211" t="s">
        <v>30</v>
      </c>
      <c r="C211" t="s">
        <v>41</v>
      </c>
      <c r="D211" s="1">
        <v>45802</v>
      </c>
      <c r="E211" s="1">
        <v>45814</v>
      </c>
      <c r="F211">
        <v>9</v>
      </c>
      <c r="G211">
        <v>164</v>
      </c>
      <c r="H211" t="s">
        <v>27</v>
      </c>
      <c r="I211" t="s">
        <v>546</v>
      </c>
      <c r="J211" t="s">
        <v>14</v>
      </c>
      <c r="K211">
        <f>YEAR(D211)</f>
        <v>2025</v>
      </c>
      <c r="L211" t="str">
        <f>TEXT(D211,"mmm")</f>
        <v>May</v>
      </c>
      <c r="M211" t="str">
        <f>TEXT(D211,"ddd")</f>
        <v>Sun</v>
      </c>
      <c r="N211">
        <f>DATEDIF(D211, E211, "d")</f>
        <v>12</v>
      </c>
      <c r="O211">
        <f>ROUND(Table1[[#This Row],[Unit Price]]*Table1[[#This Row],[Quantity]]*VLOOKUP(C211,Table2[#All],2,FALSE),0)</f>
        <v>959</v>
      </c>
      <c r="P211">
        <f>ROUND(F211*G211,0)</f>
        <v>1476</v>
      </c>
      <c r="Q211">
        <f>ROUND((G211*F211)-O211,0)</f>
        <v>517</v>
      </c>
    </row>
    <row r="212" spans="1:17">
      <c r="A212" t="s">
        <v>263</v>
      </c>
      <c r="B212" t="s">
        <v>20</v>
      </c>
      <c r="C212" t="s">
        <v>21</v>
      </c>
      <c r="D212" s="1">
        <v>45576</v>
      </c>
      <c r="E212" s="1">
        <v>45584</v>
      </c>
      <c r="F212">
        <v>8</v>
      </c>
      <c r="G212">
        <v>58</v>
      </c>
      <c r="H212" t="s">
        <v>27</v>
      </c>
      <c r="I212" t="s">
        <v>546</v>
      </c>
      <c r="J212" t="s">
        <v>45</v>
      </c>
      <c r="K212">
        <f>YEAR(D212)</f>
        <v>2024</v>
      </c>
      <c r="L212" t="str">
        <f>TEXT(D212,"mmm")</f>
        <v>Oct</v>
      </c>
      <c r="M212" t="str">
        <f>TEXT(D212,"ddd")</f>
        <v>Fri</v>
      </c>
      <c r="N212">
        <f>DATEDIF(D212, E212, "d")</f>
        <v>8</v>
      </c>
      <c r="O212">
        <f>ROUND(Table1[[#This Row],[Unit Price]]*Table1[[#This Row],[Quantity]]*VLOOKUP(C212,Table2[#All],2,FALSE),0)</f>
        <v>348</v>
      </c>
      <c r="P212">
        <f>ROUND(F212*G212,0)</f>
        <v>464</v>
      </c>
      <c r="Q212">
        <f>ROUND((G212*F212)-O212,0)</f>
        <v>116</v>
      </c>
    </row>
    <row r="213" spans="1:17">
      <c r="A213" t="s">
        <v>463</v>
      </c>
      <c r="B213" t="s">
        <v>20</v>
      </c>
      <c r="C213" t="s">
        <v>82</v>
      </c>
      <c r="D213" s="1">
        <v>45847</v>
      </c>
      <c r="E213" s="1">
        <v>45857</v>
      </c>
      <c r="F213">
        <v>6</v>
      </c>
      <c r="G213">
        <v>342</v>
      </c>
      <c r="H213" t="s">
        <v>13</v>
      </c>
      <c r="I213" t="s">
        <v>32</v>
      </c>
      <c r="J213" t="s">
        <v>28</v>
      </c>
      <c r="K213">
        <f>YEAR(D213)</f>
        <v>2025</v>
      </c>
      <c r="L213" t="str">
        <f>TEXT(D213,"mmm")</f>
        <v>Jul</v>
      </c>
      <c r="M213" t="str">
        <f>TEXT(D213,"ddd")</f>
        <v>Wed</v>
      </c>
      <c r="N213">
        <f>DATEDIF(D213, E213, "d")</f>
        <v>10</v>
      </c>
      <c r="O213">
        <f>ROUND(Table1[[#This Row],[Unit Price]]*Table1[[#This Row],[Quantity]]*VLOOKUP(C213,Table2[#All],2,FALSE),0)</f>
        <v>1642</v>
      </c>
      <c r="P213">
        <f>ROUND(F213*G213,0)</f>
        <v>2052</v>
      </c>
      <c r="Q213">
        <f>ROUND((G213*F213)-O213,0)</f>
        <v>410</v>
      </c>
    </row>
    <row r="214" spans="1:17">
      <c r="A214" t="s">
        <v>161</v>
      </c>
      <c r="B214" t="s">
        <v>23</v>
      </c>
      <c r="C214" t="s">
        <v>24</v>
      </c>
      <c r="D214" s="1">
        <v>45554</v>
      </c>
      <c r="E214" s="1">
        <v>45564</v>
      </c>
      <c r="F214">
        <v>10</v>
      </c>
      <c r="G214">
        <v>121</v>
      </c>
      <c r="H214" t="s">
        <v>13</v>
      </c>
      <c r="I214" t="s">
        <v>549</v>
      </c>
      <c r="J214" t="s">
        <v>28</v>
      </c>
      <c r="K214">
        <f>YEAR(D214)</f>
        <v>2024</v>
      </c>
      <c r="L214" t="str">
        <f>TEXT(D214,"mmm")</f>
        <v>Sep</v>
      </c>
      <c r="M214" t="str">
        <f>TEXT(D214,"ddd")</f>
        <v>Thu</v>
      </c>
      <c r="N214">
        <f>DATEDIF(D214, E214, "d")</f>
        <v>10</v>
      </c>
      <c r="O214">
        <f>ROUND(Table1[[#This Row],[Unit Price]]*Table1[[#This Row],[Quantity]]*VLOOKUP(C214,Table2[#All],2,FALSE),0)</f>
        <v>666</v>
      </c>
      <c r="P214">
        <f>ROUND(F214*G214,0)</f>
        <v>1210</v>
      </c>
      <c r="Q214">
        <f>ROUND((G214*F214)-O214,0)</f>
        <v>544</v>
      </c>
    </row>
    <row r="215" spans="1:17">
      <c r="A215" t="s">
        <v>197</v>
      </c>
      <c r="B215" t="s">
        <v>16</v>
      </c>
      <c r="C215" t="s">
        <v>59</v>
      </c>
      <c r="D215" s="1">
        <v>45506</v>
      </c>
      <c r="E215" s="1">
        <v>45515</v>
      </c>
      <c r="F215">
        <v>3</v>
      </c>
      <c r="G215">
        <v>846</v>
      </c>
      <c r="H215" t="s">
        <v>13</v>
      </c>
      <c r="I215" t="s">
        <v>550</v>
      </c>
      <c r="J215" t="s">
        <v>45</v>
      </c>
      <c r="K215">
        <f>YEAR(D215)</f>
        <v>2024</v>
      </c>
      <c r="L215" t="str">
        <f>TEXT(D215,"mmm")</f>
        <v>Aug</v>
      </c>
      <c r="M215" t="str">
        <f>TEXT(D215,"ddd")</f>
        <v>Fri</v>
      </c>
      <c r="N215">
        <f>DATEDIF(D215, E215, "d")</f>
        <v>9</v>
      </c>
      <c r="O215">
        <f>ROUND(Table1[[#This Row],[Unit Price]]*Table1[[#This Row],[Quantity]]*VLOOKUP(C215,Table2[#All],2,FALSE),0)</f>
        <v>1650</v>
      </c>
      <c r="P215">
        <f>ROUND(F215*G215,0)</f>
        <v>2538</v>
      </c>
      <c r="Q215">
        <f>ROUND((G215*F215)-O215,0)</f>
        <v>888</v>
      </c>
    </row>
    <row r="216" spans="1:17">
      <c r="A216" t="s">
        <v>531</v>
      </c>
      <c r="B216" t="s">
        <v>16</v>
      </c>
      <c r="C216" t="s">
        <v>63</v>
      </c>
      <c r="D216" s="1">
        <v>45779</v>
      </c>
      <c r="E216" s="1">
        <v>45781</v>
      </c>
      <c r="F216">
        <v>4</v>
      </c>
      <c r="G216">
        <v>578</v>
      </c>
      <c r="H216" t="s">
        <v>13</v>
      </c>
      <c r="I216" t="s">
        <v>550</v>
      </c>
      <c r="J216" t="s">
        <v>45</v>
      </c>
      <c r="K216">
        <f>YEAR(D216)</f>
        <v>2025</v>
      </c>
      <c r="L216" t="str">
        <f>TEXT(D216,"mmm")</f>
        <v>May</v>
      </c>
      <c r="M216" t="str">
        <f>TEXT(D216,"ddd")</f>
        <v>Fri</v>
      </c>
      <c r="N216">
        <f>DATEDIF(D216, E216, "d")</f>
        <v>2</v>
      </c>
      <c r="O216">
        <f>ROUND(Table1[[#This Row],[Unit Price]]*Table1[[#This Row],[Quantity]]*VLOOKUP(C216,Table2[#All],2,FALSE),0)</f>
        <v>1156</v>
      </c>
      <c r="P216">
        <f>ROUND(F216*G216,0)</f>
        <v>2312</v>
      </c>
      <c r="Q216">
        <f>ROUND((G216*F216)-O216,0)</f>
        <v>1156</v>
      </c>
    </row>
    <row r="217" spans="1:17">
      <c r="A217" t="s">
        <v>287</v>
      </c>
      <c r="B217" t="s">
        <v>16</v>
      </c>
      <c r="C217" t="s">
        <v>17</v>
      </c>
      <c r="D217" s="1">
        <v>45597</v>
      </c>
      <c r="E217" s="1">
        <v>45602</v>
      </c>
      <c r="F217">
        <v>10</v>
      </c>
      <c r="G217">
        <v>813</v>
      </c>
      <c r="H217" t="s">
        <v>13</v>
      </c>
      <c r="I217" t="s">
        <v>546</v>
      </c>
      <c r="J217" t="s">
        <v>14</v>
      </c>
      <c r="K217">
        <f>YEAR(D217)</f>
        <v>2024</v>
      </c>
      <c r="L217" t="str">
        <f>TEXT(D217,"mmm")</f>
        <v>Nov</v>
      </c>
      <c r="M217" t="str">
        <f>TEXT(D217,"ddd")</f>
        <v>Fri</v>
      </c>
      <c r="N217">
        <f>DATEDIF(D217, E217, "d")</f>
        <v>5</v>
      </c>
      <c r="O217">
        <f>ROUND(Table1[[#This Row],[Unit Price]]*Table1[[#This Row],[Quantity]]*VLOOKUP(C217,Table2[#All],2,FALSE),0)</f>
        <v>4065</v>
      </c>
      <c r="P217">
        <f>ROUND(F217*G217,0)</f>
        <v>8130</v>
      </c>
      <c r="Q217">
        <f>ROUND((G217*F217)-O217,0)</f>
        <v>4065</v>
      </c>
    </row>
    <row r="218" spans="1:17">
      <c r="A218" t="s">
        <v>405</v>
      </c>
      <c r="B218" t="s">
        <v>30</v>
      </c>
      <c r="C218" t="s">
        <v>75</v>
      </c>
      <c r="D218" s="1">
        <v>45759</v>
      </c>
      <c r="E218" s="1">
        <v>45767</v>
      </c>
      <c r="F218">
        <v>7</v>
      </c>
      <c r="G218">
        <v>744</v>
      </c>
      <c r="H218" t="s">
        <v>13</v>
      </c>
      <c r="I218" t="s">
        <v>549</v>
      </c>
      <c r="J218" t="s">
        <v>18</v>
      </c>
      <c r="K218">
        <f>YEAR(D218)</f>
        <v>2025</v>
      </c>
      <c r="L218" t="str">
        <f>TEXT(D218,"mmm")</f>
        <v>Apr</v>
      </c>
      <c r="M218" t="str">
        <f>TEXT(D218,"ddd")</f>
        <v>Sat</v>
      </c>
      <c r="N218">
        <f>DATEDIF(D218, E218, "d")</f>
        <v>8</v>
      </c>
      <c r="O218">
        <f>ROUND(Table1[[#This Row],[Unit Price]]*Table1[[#This Row],[Quantity]]*VLOOKUP(C218,Table2[#All],2,FALSE),0)</f>
        <v>3906</v>
      </c>
      <c r="P218">
        <f>ROUND(F218*G218,0)</f>
        <v>5208</v>
      </c>
      <c r="Q218">
        <f>ROUND((G218*F218)-O218,0)</f>
        <v>1302</v>
      </c>
    </row>
    <row r="219" spans="1:17">
      <c r="A219" t="s">
        <v>327</v>
      </c>
      <c r="B219" t="s">
        <v>23</v>
      </c>
      <c r="C219" t="s">
        <v>114</v>
      </c>
      <c r="D219" s="1">
        <v>45415</v>
      </c>
      <c r="E219" s="1">
        <v>45419</v>
      </c>
      <c r="F219">
        <v>8</v>
      </c>
      <c r="G219">
        <v>663</v>
      </c>
      <c r="H219" t="s">
        <v>27</v>
      </c>
      <c r="I219" t="s">
        <v>551</v>
      </c>
      <c r="J219" t="s">
        <v>28</v>
      </c>
      <c r="K219">
        <f>YEAR(D219)</f>
        <v>2024</v>
      </c>
      <c r="L219" t="str">
        <f>TEXT(D219,"mmm")</f>
        <v>May</v>
      </c>
      <c r="M219" t="str">
        <f>TEXT(D219,"ddd")</f>
        <v>Fri</v>
      </c>
      <c r="N219">
        <f>DATEDIF(D219, E219, "d")</f>
        <v>4</v>
      </c>
      <c r="O219">
        <f>ROUND(Table1[[#This Row],[Unit Price]]*Table1[[#This Row],[Quantity]]*VLOOKUP(C219,Table2[#All],2,FALSE),0)</f>
        <v>3182</v>
      </c>
      <c r="P219">
        <f>ROUND(F219*G219,0)</f>
        <v>5304</v>
      </c>
      <c r="Q219">
        <f>ROUND((G219*F219)-O219,0)</f>
        <v>2122</v>
      </c>
    </row>
    <row r="220" spans="1:17">
      <c r="A220" t="s">
        <v>335</v>
      </c>
      <c r="B220" t="s">
        <v>16</v>
      </c>
      <c r="C220" t="s">
        <v>63</v>
      </c>
      <c r="D220" s="1">
        <v>45480</v>
      </c>
      <c r="E220" s="1">
        <v>45490</v>
      </c>
      <c r="F220">
        <v>3</v>
      </c>
      <c r="G220">
        <v>271</v>
      </c>
      <c r="H220" t="s">
        <v>27</v>
      </c>
      <c r="I220" t="s">
        <v>548</v>
      </c>
      <c r="J220" t="s">
        <v>14</v>
      </c>
      <c r="K220">
        <f>YEAR(D220)</f>
        <v>2024</v>
      </c>
      <c r="L220" t="str">
        <f>TEXT(D220,"mmm")</f>
        <v>Jul</v>
      </c>
      <c r="M220" t="str">
        <f>TEXT(D220,"ddd")</f>
        <v>Sun</v>
      </c>
      <c r="N220">
        <f>DATEDIF(D220, E220, "d")</f>
        <v>10</v>
      </c>
      <c r="O220">
        <f>ROUND(Table1[[#This Row],[Unit Price]]*Table1[[#This Row],[Quantity]]*VLOOKUP(C220,Table2[#All],2,FALSE),0)</f>
        <v>407</v>
      </c>
      <c r="P220">
        <f>ROUND(F220*G220,0)</f>
        <v>813</v>
      </c>
      <c r="Q220">
        <f>ROUND((G220*F220)-O220,0)</f>
        <v>406</v>
      </c>
    </row>
    <row r="221" spans="1:17">
      <c r="A221" t="s">
        <v>189</v>
      </c>
      <c r="B221" t="s">
        <v>16</v>
      </c>
      <c r="C221" t="s">
        <v>63</v>
      </c>
      <c r="D221" s="1">
        <v>45456</v>
      </c>
      <c r="E221" s="1">
        <v>45461</v>
      </c>
      <c r="F221">
        <v>10</v>
      </c>
      <c r="G221">
        <v>497</v>
      </c>
      <c r="H221" t="s">
        <v>13</v>
      </c>
      <c r="I221" t="s">
        <v>32</v>
      </c>
      <c r="J221" t="s">
        <v>45</v>
      </c>
      <c r="K221">
        <f>YEAR(D221)</f>
        <v>2024</v>
      </c>
      <c r="L221" t="str">
        <f>TEXT(D221,"mmm")</f>
        <v>Jun</v>
      </c>
      <c r="M221" t="str">
        <f>TEXT(D221,"ddd")</f>
        <v>Thu</v>
      </c>
      <c r="N221">
        <f>DATEDIF(D221, E221, "d")</f>
        <v>5</v>
      </c>
      <c r="O221">
        <f>ROUND(Table1[[#This Row],[Unit Price]]*Table1[[#This Row],[Quantity]]*VLOOKUP(C221,Table2[#All],2,FALSE),0)</f>
        <v>2485</v>
      </c>
      <c r="P221">
        <f>ROUND(F221*G221,0)</f>
        <v>4970</v>
      </c>
      <c r="Q221">
        <f>ROUND((G221*F221)-O221,0)</f>
        <v>2485</v>
      </c>
    </row>
    <row r="222" spans="1:17">
      <c r="A222" t="s">
        <v>183</v>
      </c>
      <c r="B222" t="s">
        <v>11</v>
      </c>
      <c r="C222" t="s">
        <v>57</v>
      </c>
      <c r="D222" s="1">
        <v>45423</v>
      </c>
      <c r="E222" s="1">
        <v>45435</v>
      </c>
      <c r="F222">
        <v>4</v>
      </c>
      <c r="G222">
        <v>187</v>
      </c>
      <c r="H222" t="s">
        <v>27</v>
      </c>
      <c r="I222" t="s">
        <v>32</v>
      </c>
      <c r="J222" t="s">
        <v>14</v>
      </c>
      <c r="K222">
        <f>YEAR(D222)</f>
        <v>2024</v>
      </c>
      <c r="L222" t="str">
        <f>TEXT(D222,"mmm")</f>
        <v>May</v>
      </c>
      <c r="M222" t="str">
        <f>TEXT(D222,"ddd")</f>
        <v>Sat</v>
      </c>
      <c r="N222">
        <f>DATEDIF(D222, E222, "d")</f>
        <v>12</v>
      </c>
      <c r="O222">
        <f>ROUND(Table1[[#This Row],[Unit Price]]*Table1[[#This Row],[Quantity]]*VLOOKUP(C222,Table2[#All],2,FALSE),0)</f>
        <v>636</v>
      </c>
      <c r="P222">
        <f>ROUND(F222*G222,0)</f>
        <v>748</v>
      </c>
      <c r="Q222">
        <f>ROUND((G222*F222)-O222,0)</f>
        <v>112</v>
      </c>
    </row>
    <row r="223" spans="1:17">
      <c r="A223" t="s">
        <v>361</v>
      </c>
      <c r="B223" t="s">
        <v>30</v>
      </c>
      <c r="C223" t="s">
        <v>75</v>
      </c>
      <c r="D223" s="1">
        <v>45851</v>
      </c>
      <c r="E223" s="1">
        <v>45856</v>
      </c>
      <c r="F223">
        <v>10</v>
      </c>
      <c r="G223">
        <v>974</v>
      </c>
      <c r="H223" t="s">
        <v>13</v>
      </c>
      <c r="I223" t="s">
        <v>549</v>
      </c>
      <c r="J223" t="s">
        <v>18</v>
      </c>
      <c r="K223">
        <f>YEAR(D223)</f>
        <v>2025</v>
      </c>
      <c r="L223" t="str">
        <f>TEXT(D223,"mmm")</f>
        <v>Jul</v>
      </c>
      <c r="M223" t="str">
        <f>TEXT(D223,"ddd")</f>
        <v>Sun</v>
      </c>
      <c r="N223">
        <f>DATEDIF(D223, E223, "d")</f>
        <v>5</v>
      </c>
      <c r="O223">
        <f>ROUND(Table1[[#This Row],[Unit Price]]*Table1[[#This Row],[Quantity]]*VLOOKUP(C223,Table2[#All],2,FALSE),0)</f>
        <v>7305</v>
      </c>
      <c r="P223">
        <f>ROUND(F223*G223,0)</f>
        <v>9740</v>
      </c>
      <c r="Q223">
        <f>ROUND((G223*F223)-O223,0)</f>
        <v>2435</v>
      </c>
    </row>
    <row r="224" spans="1:17">
      <c r="A224" t="s">
        <v>488</v>
      </c>
      <c r="B224" t="s">
        <v>20</v>
      </c>
      <c r="C224" t="s">
        <v>39</v>
      </c>
      <c r="D224" s="1">
        <v>45716</v>
      </c>
      <c r="E224" s="1">
        <v>45726</v>
      </c>
      <c r="F224">
        <v>8</v>
      </c>
      <c r="G224">
        <v>733</v>
      </c>
      <c r="H224" t="s">
        <v>13</v>
      </c>
      <c r="I224" t="s">
        <v>550</v>
      </c>
      <c r="J224" t="s">
        <v>45</v>
      </c>
      <c r="K224">
        <f>YEAR(D224)</f>
        <v>2025</v>
      </c>
      <c r="L224" t="str">
        <f>TEXT(D224,"mmm")</f>
        <v>Feb</v>
      </c>
      <c r="M224" t="str">
        <f>TEXT(D224,"ddd")</f>
        <v>Fri</v>
      </c>
      <c r="N224">
        <f>DATEDIF(D224, E224, "d")</f>
        <v>10</v>
      </c>
      <c r="O224">
        <f>ROUND(Table1[[#This Row],[Unit Price]]*Table1[[#This Row],[Quantity]]*VLOOKUP(C224,Table2[#All],2,FALSE),0)</f>
        <v>3812</v>
      </c>
      <c r="P224">
        <f>ROUND(F224*G224,0)</f>
        <v>5864</v>
      </c>
      <c r="Q224">
        <f>ROUND((G224*F224)-O224,0)</f>
        <v>2052</v>
      </c>
    </row>
    <row r="225" spans="1:17">
      <c r="A225" t="s">
        <v>282</v>
      </c>
      <c r="B225" t="s">
        <v>30</v>
      </c>
      <c r="C225" t="s">
        <v>75</v>
      </c>
      <c r="D225" s="1">
        <v>45330</v>
      </c>
      <c r="E225" s="1">
        <v>45343</v>
      </c>
      <c r="F225">
        <v>5</v>
      </c>
      <c r="G225">
        <v>930</v>
      </c>
      <c r="H225" t="s">
        <v>27</v>
      </c>
      <c r="I225" t="s">
        <v>32</v>
      </c>
      <c r="J225" t="s">
        <v>18</v>
      </c>
      <c r="K225">
        <f>YEAR(D225)</f>
        <v>2024</v>
      </c>
      <c r="L225" t="str">
        <f>TEXT(D225,"mmm")</f>
        <v>Feb</v>
      </c>
      <c r="M225" t="str">
        <f>TEXT(D225,"ddd")</f>
        <v>Thu</v>
      </c>
      <c r="N225">
        <f>DATEDIF(D225, E225, "d")</f>
        <v>13</v>
      </c>
      <c r="O225">
        <f>ROUND(Table1[[#This Row],[Unit Price]]*Table1[[#This Row],[Quantity]]*VLOOKUP(C225,Table2[#All],2,FALSE),0)</f>
        <v>3488</v>
      </c>
      <c r="P225">
        <f>ROUND(F225*G225,0)</f>
        <v>4650</v>
      </c>
      <c r="Q225">
        <f>ROUND((G225*F225)-O225,0)</f>
        <v>1162</v>
      </c>
    </row>
    <row r="226" spans="1:17">
      <c r="A226" t="s">
        <v>207</v>
      </c>
      <c r="B226" t="s">
        <v>11</v>
      </c>
      <c r="C226" t="s">
        <v>26</v>
      </c>
      <c r="D226" s="1">
        <v>45310</v>
      </c>
      <c r="E226" s="1">
        <v>45324</v>
      </c>
      <c r="F226">
        <v>5</v>
      </c>
      <c r="G226">
        <v>216</v>
      </c>
      <c r="H226" t="s">
        <v>13</v>
      </c>
      <c r="I226" t="s">
        <v>550</v>
      </c>
      <c r="J226" t="s">
        <v>45</v>
      </c>
      <c r="K226">
        <f>YEAR(D226)</f>
        <v>2024</v>
      </c>
      <c r="L226" t="str">
        <f>TEXT(D226,"mmm")</f>
        <v>Jan</v>
      </c>
      <c r="M226" t="str">
        <f>TEXT(D226,"ddd")</f>
        <v>Fri</v>
      </c>
      <c r="N226">
        <f>DATEDIF(D226, E226, "d")</f>
        <v>14</v>
      </c>
      <c r="O226">
        <f>ROUND(Table1[[#This Row],[Unit Price]]*Table1[[#This Row],[Quantity]]*VLOOKUP(C226,Table2[#All],2,FALSE),0)</f>
        <v>702</v>
      </c>
      <c r="P226">
        <f>ROUND(F226*G226,0)</f>
        <v>1080</v>
      </c>
      <c r="Q226">
        <f>ROUND((G226*F226)-O226,0)</f>
        <v>378</v>
      </c>
    </row>
    <row r="227" spans="1:17">
      <c r="A227" t="s">
        <v>73</v>
      </c>
      <c r="B227" t="s">
        <v>23</v>
      </c>
      <c r="C227" t="s">
        <v>69</v>
      </c>
      <c r="D227" s="1">
        <v>45581</v>
      </c>
      <c r="E227" s="1">
        <v>45586</v>
      </c>
      <c r="F227">
        <v>9</v>
      </c>
      <c r="G227">
        <v>333</v>
      </c>
      <c r="H227" t="s">
        <v>27</v>
      </c>
      <c r="I227" t="s">
        <v>546</v>
      </c>
      <c r="J227" t="s">
        <v>45</v>
      </c>
      <c r="K227">
        <f>YEAR(D227)</f>
        <v>2024</v>
      </c>
      <c r="L227" t="str">
        <f>TEXT(D227,"mmm")</f>
        <v>Oct</v>
      </c>
      <c r="M227" t="str">
        <f>TEXT(D227,"ddd")</f>
        <v>Wed</v>
      </c>
      <c r="N227">
        <f>DATEDIF(D227, E227, "d")</f>
        <v>5</v>
      </c>
      <c r="O227">
        <f>ROUND(Table1[[#This Row],[Unit Price]]*Table1[[#This Row],[Quantity]]*VLOOKUP(C227,Table2[#All],2,FALSE),0)</f>
        <v>1648</v>
      </c>
      <c r="P227">
        <f>ROUND(F227*G227,0)</f>
        <v>2997</v>
      </c>
      <c r="Q227">
        <f>ROUND((G227*F227)-O227,0)</f>
        <v>1349</v>
      </c>
    </row>
    <row r="228" spans="1:17">
      <c r="A228" t="s">
        <v>73</v>
      </c>
      <c r="B228" t="s">
        <v>30</v>
      </c>
      <c r="C228" t="s">
        <v>49</v>
      </c>
      <c r="D228" s="1">
        <v>45949</v>
      </c>
      <c r="E228" s="1">
        <v>45961</v>
      </c>
      <c r="F228">
        <v>7</v>
      </c>
      <c r="G228">
        <v>50</v>
      </c>
      <c r="H228" t="s">
        <v>27</v>
      </c>
      <c r="I228" t="s">
        <v>549</v>
      </c>
      <c r="J228" t="s">
        <v>28</v>
      </c>
      <c r="K228">
        <f>YEAR(D228)</f>
        <v>2025</v>
      </c>
      <c r="L228" t="str">
        <f>TEXT(D228,"mmm")</f>
        <v>Oct</v>
      </c>
      <c r="M228" t="str">
        <f>TEXT(D228,"ddd")</f>
        <v>Sun</v>
      </c>
      <c r="N228">
        <f>DATEDIF(D228, E228, "d")</f>
        <v>12</v>
      </c>
      <c r="O228">
        <f>ROUND(Table1[[#This Row],[Unit Price]]*Table1[[#This Row],[Quantity]]*VLOOKUP(C228,Table2[#All],2,FALSE),0)</f>
        <v>245</v>
      </c>
      <c r="P228">
        <f>ROUND(F228*G228,0)</f>
        <v>350</v>
      </c>
      <c r="Q228">
        <f>ROUND((G228*F228)-O228,0)</f>
        <v>105</v>
      </c>
    </row>
    <row r="229" spans="1:17">
      <c r="A229" t="s">
        <v>89</v>
      </c>
      <c r="B229" t="s">
        <v>16</v>
      </c>
      <c r="C229" t="s">
        <v>55</v>
      </c>
      <c r="D229" s="1">
        <v>45306</v>
      </c>
      <c r="E229" s="1">
        <v>45309</v>
      </c>
      <c r="F229">
        <v>2</v>
      </c>
      <c r="G229">
        <v>908</v>
      </c>
      <c r="H229" t="s">
        <v>27</v>
      </c>
      <c r="I229" t="s">
        <v>546</v>
      </c>
      <c r="J229" t="s">
        <v>45</v>
      </c>
      <c r="K229">
        <f>YEAR(D229)</f>
        <v>2024</v>
      </c>
      <c r="L229" t="str">
        <f>TEXT(D229,"mmm")</f>
        <v>Jan</v>
      </c>
      <c r="M229" t="str">
        <f>TEXT(D229,"ddd")</f>
        <v>Mon</v>
      </c>
      <c r="N229">
        <f>DATEDIF(D229, E229, "d")</f>
        <v>3</v>
      </c>
      <c r="O229">
        <f>ROUND(Table1[[#This Row],[Unit Price]]*Table1[[#This Row],[Quantity]]*VLOOKUP(C229,Table2[#All],2,FALSE),0)</f>
        <v>999</v>
      </c>
      <c r="P229">
        <f>ROUND(F229*G229,0)</f>
        <v>1816</v>
      </c>
      <c r="Q229">
        <f>ROUND((G229*F229)-O229,0)</f>
        <v>817</v>
      </c>
    </row>
    <row r="230" spans="1:17">
      <c r="A230" t="s">
        <v>89</v>
      </c>
      <c r="B230" t="s">
        <v>30</v>
      </c>
      <c r="C230" t="s">
        <v>75</v>
      </c>
      <c r="D230" s="1">
        <v>45714</v>
      </c>
      <c r="E230" s="1">
        <v>45721</v>
      </c>
      <c r="F230">
        <v>1</v>
      </c>
      <c r="G230">
        <v>444</v>
      </c>
      <c r="H230" t="s">
        <v>27</v>
      </c>
      <c r="I230" t="s">
        <v>549</v>
      </c>
      <c r="J230" t="s">
        <v>14</v>
      </c>
      <c r="K230">
        <f>YEAR(D230)</f>
        <v>2025</v>
      </c>
      <c r="L230" t="str">
        <f>TEXT(D230,"mmm")</f>
        <v>Feb</v>
      </c>
      <c r="M230" t="str">
        <f>TEXT(D230,"ddd")</f>
        <v>Wed</v>
      </c>
      <c r="N230">
        <f>DATEDIF(D230, E230, "d")</f>
        <v>7</v>
      </c>
      <c r="O230">
        <f>ROUND(Table1[[#This Row],[Unit Price]]*Table1[[#This Row],[Quantity]]*VLOOKUP(C230,Table2[#All],2,FALSE),0)</f>
        <v>333</v>
      </c>
      <c r="P230">
        <f>ROUND(F230*G230,0)</f>
        <v>444</v>
      </c>
      <c r="Q230">
        <f>ROUND((G230*F230)-O230,0)</f>
        <v>111</v>
      </c>
    </row>
    <row r="231" spans="1:17">
      <c r="A231" t="s">
        <v>222</v>
      </c>
      <c r="B231" t="s">
        <v>20</v>
      </c>
      <c r="C231" t="s">
        <v>51</v>
      </c>
      <c r="D231" s="1">
        <v>45505</v>
      </c>
      <c r="E231" s="1">
        <v>45515</v>
      </c>
      <c r="F231">
        <v>10</v>
      </c>
      <c r="G231">
        <v>664</v>
      </c>
      <c r="H231" t="s">
        <v>27</v>
      </c>
      <c r="I231" t="s">
        <v>550</v>
      </c>
      <c r="J231" t="s">
        <v>45</v>
      </c>
      <c r="K231">
        <f>YEAR(D231)</f>
        <v>2024</v>
      </c>
      <c r="L231" t="str">
        <f>TEXT(D231,"mmm")</f>
        <v>Aug</v>
      </c>
      <c r="M231" t="str">
        <f>TEXT(D231,"ddd")</f>
        <v>Thu</v>
      </c>
      <c r="N231">
        <f>DATEDIF(D231, E231, "d")</f>
        <v>10</v>
      </c>
      <c r="O231">
        <f>ROUND(Table1[[#This Row],[Unit Price]]*Table1[[#This Row],[Quantity]]*VLOOKUP(C231,Table2[#All],2,FALSE),0)</f>
        <v>4648</v>
      </c>
      <c r="P231">
        <f>ROUND(F231*G231,0)</f>
        <v>6640</v>
      </c>
      <c r="Q231">
        <f>ROUND((G231*F231)-O231,0)</f>
        <v>1992</v>
      </c>
    </row>
    <row r="232" spans="1:17">
      <c r="A232" t="s">
        <v>199</v>
      </c>
      <c r="B232" t="s">
        <v>11</v>
      </c>
      <c r="C232" t="s">
        <v>95</v>
      </c>
      <c r="D232" s="1">
        <v>45406</v>
      </c>
      <c r="E232" s="1">
        <v>45418</v>
      </c>
      <c r="F232">
        <v>1</v>
      </c>
      <c r="G232">
        <v>336</v>
      </c>
      <c r="H232" t="s">
        <v>13</v>
      </c>
      <c r="I232" t="s">
        <v>550</v>
      </c>
      <c r="J232" t="s">
        <v>18</v>
      </c>
      <c r="K232">
        <f>YEAR(D232)</f>
        <v>2024</v>
      </c>
      <c r="L232" t="str">
        <f>TEXT(D232,"mmm")</f>
        <v>Apr</v>
      </c>
      <c r="M232" t="str">
        <f>TEXT(D232,"ddd")</f>
        <v>Wed</v>
      </c>
      <c r="N232">
        <f>DATEDIF(D232, E232, "d")</f>
        <v>12</v>
      </c>
      <c r="O232">
        <f>ROUND(Table1[[#This Row],[Unit Price]]*Table1[[#This Row],[Quantity]]*VLOOKUP(C232,Table2[#All],2,FALSE),0)</f>
        <v>235</v>
      </c>
      <c r="P232">
        <f>ROUND(F232*G232,0)</f>
        <v>336</v>
      </c>
      <c r="Q232">
        <f>ROUND((G232*F232)-O232,0)</f>
        <v>101</v>
      </c>
    </row>
    <row r="233" spans="1:17">
      <c r="A233" t="s">
        <v>320</v>
      </c>
      <c r="B233" t="s">
        <v>20</v>
      </c>
      <c r="C233" t="s">
        <v>21</v>
      </c>
      <c r="D233" s="1">
        <v>45627</v>
      </c>
      <c r="E233" s="1">
        <v>45636</v>
      </c>
      <c r="F233">
        <v>2</v>
      </c>
      <c r="G233">
        <v>730</v>
      </c>
      <c r="H233" t="s">
        <v>13</v>
      </c>
      <c r="I233" t="s">
        <v>547</v>
      </c>
      <c r="J233" t="s">
        <v>18</v>
      </c>
      <c r="K233">
        <f>YEAR(D233)</f>
        <v>2024</v>
      </c>
      <c r="L233" t="str">
        <f>TEXT(D233,"mmm")</f>
        <v>Dec</v>
      </c>
      <c r="M233" t="str">
        <f>TEXT(D233,"ddd")</f>
        <v>Sun</v>
      </c>
      <c r="N233">
        <f>DATEDIF(D233, E233, "d")</f>
        <v>9</v>
      </c>
      <c r="O233">
        <f>ROUND(Table1[[#This Row],[Unit Price]]*Table1[[#This Row],[Quantity]]*VLOOKUP(C233,Table2[#All],2,FALSE),0)</f>
        <v>1095</v>
      </c>
      <c r="P233">
        <f>ROUND(F233*G233,0)</f>
        <v>1460</v>
      </c>
      <c r="Q233">
        <f>ROUND((G233*F233)-O233,0)</f>
        <v>365</v>
      </c>
    </row>
    <row r="234" spans="1:17">
      <c r="A234" t="s">
        <v>249</v>
      </c>
      <c r="B234" t="s">
        <v>11</v>
      </c>
      <c r="C234" t="s">
        <v>26</v>
      </c>
      <c r="D234" s="1">
        <v>45449</v>
      </c>
      <c r="E234" s="1">
        <v>45461</v>
      </c>
      <c r="F234">
        <v>3</v>
      </c>
      <c r="G234">
        <v>425</v>
      </c>
      <c r="H234" t="s">
        <v>27</v>
      </c>
      <c r="I234" t="s">
        <v>32</v>
      </c>
      <c r="J234" t="s">
        <v>45</v>
      </c>
      <c r="K234">
        <f>YEAR(D234)</f>
        <v>2024</v>
      </c>
      <c r="L234" t="str">
        <f>TEXT(D234,"mmm")</f>
        <v>Jun</v>
      </c>
      <c r="M234" t="str">
        <f>TEXT(D234,"ddd")</f>
        <v>Thu</v>
      </c>
      <c r="N234">
        <f>DATEDIF(D234, E234, "d")</f>
        <v>12</v>
      </c>
      <c r="O234">
        <f>ROUND(Table1[[#This Row],[Unit Price]]*Table1[[#This Row],[Quantity]]*VLOOKUP(C234,Table2[#All],2,FALSE),0)</f>
        <v>829</v>
      </c>
      <c r="P234">
        <f>ROUND(F234*G234,0)</f>
        <v>1275</v>
      </c>
      <c r="Q234">
        <f>ROUND((G234*F234)-O234,0)</f>
        <v>446</v>
      </c>
    </row>
    <row r="235" spans="1:17">
      <c r="A235" t="s">
        <v>450</v>
      </c>
      <c r="B235" t="s">
        <v>16</v>
      </c>
      <c r="C235" t="s">
        <v>63</v>
      </c>
      <c r="D235" s="1">
        <v>45707</v>
      </c>
      <c r="E235" s="1">
        <v>45711</v>
      </c>
      <c r="F235">
        <v>7</v>
      </c>
      <c r="G235">
        <v>855</v>
      </c>
      <c r="H235" t="s">
        <v>27</v>
      </c>
      <c r="I235" t="s">
        <v>549</v>
      </c>
      <c r="J235" t="s">
        <v>14</v>
      </c>
      <c r="K235">
        <f>YEAR(D235)</f>
        <v>2025</v>
      </c>
      <c r="L235" t="str">
        <f>TEXT(D235,"mmm")</f>
        <v>Feb</v>
      </c>
      <c r="M235" t="str">
        <f>TEXT(D235,"ddd")</f>
        <v>Wed</v>
      </c>
      <c r="N235">
        <f>DATEDIF(D235, E235, "d")</f>
        <v>4</v>
      </c>
      <c r="O235">
        <f>ROUND(Table1[[#This Row],[Unit Price]]*Table1[[#This Row],[Quantity]]*VLOOKUP(C235,Table2[#All],2,FALSE),0)</f>
        <v>2993</v>
      </c>
      <c r="P235">
        <f>ROUND(F235*G235,0)</f>
        <v>5985</v>
      </c>
      <c r="Q235">
        <f>ROUND((G235*F235)-O235,0)</f>
        <v>2992</v>
      </c>
    </row>
    <row r="236" spans="1:17">
      <c r="A236" s="18" t="s">
        <v>609</v>
      </c>
      <c r="B236" s="18" t="s">
        <v>11</v>
      </c>
      <c r="C236" s="18" t="s">
        <v>35</v>
      </c>
      <c r="D236" s="29">
        <v>45453</v>
      </c>
      <c r="E236" s="29">
        <v>45463</v>
      </c>
      <c r="F236" s="18">
        <v>2</v>
      </c>
      <c r="G236" s="33">
        <v>200</v>
      </c>
      <c r="H236" s="18" t="s">
        <v>13</v>
      </c>
      <c r="I236" s="18" t="s">
        <v>551</v>
      </c>
      <c r="J236" s="18" t="s">
        <v>45</v>
      </c>
      <c r="K236">
        <f>YEAR(D236)</f>
        <v>2024</v>
      </c>
      <c r="L236" t="str">
        <f>TEXT(D236,"mmm")</f>
        <v>Jun</v>
      </c>
      <c r="M236" t="str">
        <f>TEXT(D236,"ddd")</f>
        <v>Mon</v>
      </c>
      <c r="N236">
        <f>DATEDIF(D236, E236, "d")</f>
        <v>10</v>
      </c>
      <c r="O236">
        <f>ROUND(Table1[[#This Row],[Unit Price]]*Table1[[#This Row],[Quantity]]*VLOOKUP(C236,Table2[#All],2,FALSE),0)</f>
        <v>320</v>
      </c>
      <c r="P236">
        <f>ROUND(F236*G236,0)</f>
        <v>400</v>
      </c>
      <c r="Q236">
        <f>ROUND((G236*F236)-O236,0)</f>
        <v>80</v>
      </c>
    </row>
    <row r="237" spans="1:17">
      <c r="A237" t="s">
        <v>160</v>
      </c>
      <c r="B237" t="s">
        <v>16</v>
      </c>
      <c r="C237" t="s">
        <v>55</v>
      </c>
      <c r="D237" s="1">
        <v>45381</v>
      </c>
      <c r="E237" s="1">
        <v>45387</v>
      </c>
      <c r="F237">
        <v>2</v>
      </c>
      <c r="G237">
        <v>686</v>
      </c>
      <c r="H237" t="s">
        <v>13</v>
      </c>
      <c r="I237" t="s">
        <v>548</v>
      </c>
      <c r="J237" t="s">
        <v>14</v>
      </c>
      <c r="K237">
        <f>YEAR(D237)</f>
        <v>2024</v>
      </c>
      <c r="L237" t="str">
        <f>TEXT(D237,"mmm")</f>
        <v>Mar</v>
      </c>
      <c r="M237" t="str">
        <f>TEXT(D237,"ddd")</f>
        <v>Sat</v>
      </c>
      <c r="N237">
        <f>DATEDIF(D237, E237, "d")</f>
        <v>6</v>
      </c>
      <c r="O237">
        <f>ROUND(Table1[[#This Row],[Unit Price]]*Table1[[#This Row],[Quantity]]*VLOOKUP(C237,Table2[#All],2,FALSE),0)</f>
        <v>755</v>
      </c>
      <c r="P237">
        <f>ROUND(F237*G237,0)</f>
        <v>1372</v>
      </c>
      <c r="Q237">
        <f>ROUND((G237*F237)-O237,0)</f>
        <v>617</v>
      </c>
    </row>
    <row r="238" spans="1:17">
      <c r="A238" t="s">
        <v>388</v>
      </c>
      <c r="B238" t="s">
        <v>23</v>
      </c>
      <c r="C238" t="s">
        <v>24</v>
      </c>
      <c r="D238" s="1">
        <v>45811</v>
      </c>
      <c r="E238" s="1">
        <v>45815</v>
      </c>
      <c r="F238">
        <v>10</v>
      </c>
      <c r="G238">
        <v>325</v>
      </c>
      <c r="H238" t="s">
        <v>27</v>
      </c>
      <c r="I238" t="s">
        <v>32</v>
      </c>
      <c r="J238" t="s">
        <v>45</v>
      </c>
      <c r="K238">
        <f>YEAR(D238)</f>
        <v>2025</v>
      </c>
      <c r="L238" t="str">
        <f>TEXT(D238,"mmm")</f>
        <v>Jun</v>
      </c>
      <c r="M238" t="str">
        <f>TEXT(D238,"ddd")</f>
        <v>Tue</v>
      </c>
      <c r="N238">
        <f>DATEDIF(D238, E238, "d")</f>
        <v>4</v>
      </c>
      <c r="O238">
        <f>ROUND(Table1[[#This Row],[Unit Price]]*Table1[[#This Row],[Quantity]]*VLOOKUP(C238,Table2[#All],2,FALSE),0)</f>
        <v>1788</v>
      </c>
      <c r="P238">
        <f>ROUND(F238*G238,0)</f>
        <v>3250</v>
      </c>
      <c r="Q238">
        <f>ROUND((G238*F238)-O238,0)</f>
        <v>1462</v>
      </c>
    </row>
    <row r="239" spans="1:17">
      <c r="A239" t="s">
        <v>226</v>
      </c>
      <c r="B239" t="s">
        <v>16</v>
      </c>
      <c r="C239" t="s">
        <v>43</v>
      </c>
      <c r="D239" s="1">
        <v>45573</v>
      </c>
      <c r="E239" s="1">
        <v>45577</v>
      </c>
      <c r="F239">
        <v>5</v>
      </c>
      <c r="G239">
        <v>855</v>
      </c>
      <c r="H239" t="s">
        <v>13</v>
      </c>
      <c r="I239" t="s">
        <v>32</v>
      </c>
      <c r="J239" t="s">
        <v>28</v>
      </c>
      <c r="K239">
        <f>YEAR(D239)</f>
        <v>2024</v>
      </c>
      <c r="L239" t="str">
        <f>TEXT(D239,"mmm")</f>
        <v>Oct</v>
      </c>
      <c r="M239" t="str">
        <f>TEXT(D239,"ddd")</f>
        <v>Tue</v>
      </c>
      <c r="N239">
        <f>DATEDIF(D239, E239, "d")</f>
        <v>4</v>
      </c>
      <c r="O239">
        <f>ROUND(Table1[[#This Row],[Unit Price]]*Table1[[#This Row],[Quantity]]*VLOOKUP(C239,Table2[#All],2,FALSE),0)</f>
        <v>2565</v>
      </c>
      <c r="P239">
        <f>ROUND(F239*G239,0)</f>
        <v>4275</v>
      </c>
      <c r="Q239">
        <f>ROUND((G239*F239)-O239,0)</f>
        <v>1710</v>
      </c>
    </row>
    <row r="240" spans="1:17">
      <c r="A240" t="s">
        <v>350</v>
      </c>
      <c r="B240" t="s">
        <v>11</v>
      </c>
      <c r="C240" t="s">
        <v>12</v>
      </c>
      <c r="D240" s="1">
        <v>45528</v>
      </c>
      <c r="E240" s="1">
        <v>45534</v>
      </c>
      <c r="F240">
        <v>1</v>
      </c>
      <c r="G240">
        <v>182</v>
      </c>
      <c r="H240" t="s">
        <v>27</v>
      </c>
      <c r="I240" t="s">
        <v>551</v>
      </c>
      <c r="J240" t="s">
        <v>18</v>
      </c>
      <c r="K240">
        <f>YEAR(D240)</f>
        <v>2024</v>
      </c>
      <c r="L240" t="str">
        <f>TEXT(D240,"mmm")</f>
        <v>Aug</v>
      </c>
      <c r="M240" t="str">
        <f>TEXT(D240,"ddd")</f>
        <v>Sat</v>
      </c>
      <c r="N240">
        <f>DATEDIF(D240, E240, "d")</f>
        <v>6</v>
      </c>
      <c r="O240">
        <f>ROUND(Table1[[#This Row],[Unit Price]]*Table1[[#This Row],[Quantity]]*VLOOKUP(C240,Table2[#All],2,FALSE),0)</f>
        <v>137</v>
      </c>
      <c r="P240">
        <f>ROUND(F240*G240,0)</f>
        <v>182</v>
      </c>
      <c r="Q240">
        <f>ROUND((G240*F240)-O240,0)</f>
        <v>45</v>
      </c>
    </row>
    <row r="241" spans="1:17">
      <c r="A241" t="s">
        <v>314</v>
      </c>
      <c r="B241" t="s">
        <v>23</v>
      </c>
      <c r="C241" t="s">
        <v>24</v>
      </c>
      <c r="D241" s="1">
        <v>45589</v>
      </c>
      <c r="E241" s="1">
        <v>45595</v>
      </c>
      <c r="F241">
        <v>1</v>
      </c>
      <c r="G241">
        <v>899</v>
      </c>
      <c r="H241" t="s">
        <v>27</v>
      </c>
      <c r="I241" t="s">
        <v>548</v>
      </c>
      <c r="J241" t="s">
        <v>45</v>
      </c>
      <c r="K241">
        <f>YEAR(D241)</f>
        <v>2024</v>
      </c>
      <c r="L241" t="str">
        <f>TEXT(D241,"mmm")</f>
        <v>Oct</v>
      </c>
      <c r="M241" t="str">
        <f>TEXT(D241,"ddd")</f>
        <v>Thu</v>
      </c>
      <c r="N241">
        <f>DATEDIF(D241, E241, "d")</f>
        <v>6</v>
      </c>
      <c r="O241">
        <f>ROUND(Table1[[#This Row],[Unit Price]]*Table1[[#This Row],[Quantity]]*VLOOKUP(C241,Table2[#All],2,FALSE),0)</f>
        <v>494</v>
      </c>
      <c r="P241">
        <f>ROUND(F241*G241,0)</f>
        <v>899</v>
      </c>
      <c r="Q241">
        <f>ROUND((G241*F241)-O241,0)</f>
        <v>405</v>
      </c>
    </row>
    <row r="242" spans="1:17">
      <c r="A242" t="s">
        <v>448</v>
      </c>
      <c r="B242" t="s">
        <v>23</v>
      </c>
      <c r="C242" t="s">
        <v>69</v>
      </c>
      <c r="D242" s="1">
        <v>45975</v>
      </c>
      <c r="E242" s="1">
        <v>45985</v>
      </c>
      <c r="F242">
        <v>1</v>
      </c>
      <c r="G242">
        <v>410</v>
      </c>
      <c r="H242" t="s">
        <v>27</v>
      </c>
      <c r="I242" t="s">
        <v>548</v>
      </c>
      <c r="J242" t="s">
        <v>18</v>
      </c>
      <c r="K242">
        <f>YEAR(D242)</f>
        <v>2025</v>
      </c>
      <c r="L242" t="str">
        <f>TEXT(D242,"mmm")</f>
        <v>Nov</v>
      </c>
      <c r="M242" t="str">
        <f>TEXT(D242,"ddd")</f>
        <v>Fri</v>
      </c>
      <c r="N242">
        <f>DATEDIF(D242, E242, "d")</f>
        <v>10</v>
      </c>
      <c r="O242">
        <f>ROUND(Table1[[#This Row],[Unit Price]]*Table1[[#This Row],[Quantity]]*VLOOKUP(C242,Table2[#All],2,FALSE),0)</f>
        <v>226</v>
      </c>
      <c r="P242">
        <f>ROUND(F242*G242,0)</f>
        <v>410</v>
      </c>
      <c r="Q242">
        <f>ROUND((G242*F242)-O242,0)</f>
        <v>184</v>
      </c>
    </row>
    <row r="243" spans="1:17">
      <c r="A243" t="s">
        <v>412</v>
      </c>
      <c r="B243" t="s">
        <v>20</v>
      </c>
      <c r="C243" t="s">
        <v>39</v>
      </c>
      <c r="D243" s="1">
        <v>45883</v>
      </c>
      <c r="E243" s="1">
        <v>45885</v>
      </c>
      <c r="F243">
        <v>3</v>
      </c>
      <c r="G243">
        <v>949</v>
      </c>
      <c r="H243" t="s">
        <v>13</v>
      </c>
      <c r="I243" t="s">
        <v>32</v>
      </c>
      <c r="J243" t="s">
        <v>28</v>
      </c>
      <c r="K243">
        <f>YEAR(D243)</f>
        <v>2025</v>
      </c>
      <c r="L243" t="str">
        <f>TEXT(D243,"mmm")</f>
        <v>Aug</v>
      </c>
      <c r="M243" t="str">
        <f>TEXT(D243,"ddd")</f>
        <v>Thu</v>
      </c>
      <c r="N243">
        <f>DATEDIF(D243, E243, "d")</f>
        <v>2</v>
      </c>
      <c r="O243">
        <f>ROUND(Table1[[#This Row],[Unit Price]]*Table1[[#This Row],[Quantity]]*VLOOKUP(C243,Table2[#All],2,FALSE),0)</f>
        <v>1851</v>
      </c>
      <c r="P243">
        <f>ROUND(F243*G243,0)</f>
        <v>2847</v>
      </c>
      <c r="Q243">
        <f>ROUND((G243*F243)-O243,0)</f>
        <v>996</v>
      </c>
    </row>
    <row r="244" spans="1:17">
      <c r="A244" t="s">
        <v>501</v>
      </c>
      <c r="B244" t="s">
        <v>16</v>
      </c>
      <c r="C244" t="s">
        <v>17</v>
      </c>
      <c r="D244" s="1">
        <v>45666</v>
      </c>
      <c r="E244" s="1">
        <v>45673</v>
      </c>
      <c r="F244">
        <v>3</v>
      </c>
      <c r="G244">
        <v>319</v>
      </c>
      <c r="H244" t="s">
        <v>13</v>
      </c>
      <c r="I244" t="s">
        <v>550</v>
      </c>
      <c r="J244" t="s">
        <v>45</v>
      </c>
      <c r="K244">
        <f>YEAR(D244)</f>
        <v>2025</v>
      </c>
      <c r="L244" t="str">
        <f>TEXT(D244,"mmm")</f>
        <v>Jan</v>
      </c>
      <c r="M244" t="str">
        <f>TEXT(D244,"ddd")</f>
        <v>Thu</v>
      </c>
      <c r="N244">
        <f>DATEDIF(D244, E244, "d")</f>
        <v>7</v>
      </c>
      <c r="O244">
        <f>ROUND(Table1[[#This Row],[Unit Price]]*Table1[[#This Row],[Quantity]]*VLOOKUP(C244,Table2[#All],2,FALSE),0)</f>
        <v>479</v>
      </c>
      <c r="P244">
        <f>ROUND(F244*G244,0)</f>
        <v>957</v>
      </c>
      <c r="Q244">
        <f>ROUND((G244*F244)-O244,0)</f>
        <v>478</v>
      </c>
    </row>
    <row r="245" spans="1:17">
      <c r="A245" t="s">
        <v>124</v>
      </c>
      <c r="B245" t="s">
        <v>23</v>
      </c>
      <c r="C245" t="s">
        <v>24</v>
      </c>
      <c r="D245" s="1">
        <v>45593</v>
      </c>
      <c r="E245" s="1">
        <v>45600</v>
      </c>
      <c r="F245">
        <v>7</v>
      </c>
      <c r="G245">
        <v>322</v>
      </c>
      <c r="H245" t="s">
        <v>13</v>
      </c>
      <c r="I245" t="s">
        <v>32</v>
      </c>
      <c r="J245" t="s">
        <v>28</v>
      </c>
      <c r="K245">
        <f>YEAR(D245)</f>
        <v>2024</v>
      </c>
      <c r="L245" t="str">
        <f>TEXT(D245,"mmm")</f>
        <v>Oct</v>
      </c>
      <c r="M245" t="str">
        <f>TEXT(D245,"ddd")</f>
        <v>Mon</v>
      </c>
      <c r="N245">
        <f>DATEDIF(D245, E245, "d")</f>
        <v>7</v>
      </c>
      <c r="O245">
        <f>ROUND(Table1[[#This Row],[Unit Price]]*Table1[[#This Row],[Quantity]]*VLOOKUP(C245,Table2[#All],2,FALSE),0)</f>
        <v>1240</v>
      </c>
      <c r="P245">
        <f>ROUND(F245*G245,0)</f>
        <v>2254</v>
      </c>
      <c r="Q245">
        <f>ROUND((G245*F245)-O245,0)</f>
        <v>1014</v>
      </c>
    </row>
    <row r="246" spans="1:17">
      <c r="A246" t="s">
        <v>212</v>
      </c>
      <c r="B246" t="s">
        <v>16</v>
      </c>
      <c r="C246" t="s">
        <v>43</v>
      </c>
      <c r="D246" s="1">
        <v>45579</v>
      </c>
      <c r="E246" s="1">
        <v>45592</v>
      </c>
      <c r="F246">
        <v>2</v>
      </c>
      <c r="G246">
        <v>278</v>
      </c>
      <c r="H246" t="s">
        <v>27</v>
      </c>
      <c r="I246" t="s">
        <v>548</v>
      </c>
      <c r="J246" t="s">
        <v>14</v>
      </c>
      <c r="K246">
        <f>YEAR(D246)</f>
        <v>2024</v>
      </c>
      <c r="L246" t="str">
        <f>TEXT(D246,"mmm")</f>
        <v>Oct</v>
      </c>
      <c r="M246" t="str">
        <f>TEXT(D246,"ddd")</f>
        <v>Mon</v>
      </c>
      <c r="N246">
        <f>DATEDIF(D246, E246, "d")</f>
        <v>13</v>
      </c>
      <c r="O246">
        <f>ROUND(Table1[[#This Row],[Unit Price]]*Table1[[#This Row],[Quantity]]*VLOOKUP(C246,Table2[#All],2,FALSE),0)</f>
        <v>334</v>
      </c>
      <c r="P246">
        <f>ROUND(F246*G246,0)</f>
        <v>556</v>
      </c>
      <c r="Q246">
        <f>ROUND((G246*F246)-O246,0)</f>
        <v>222</v>
      </c>
    </row>
    <row r="247" spans="1:17">
      <c r="A247" t="s">
        <v>187</v>
      </c>
      <c r="B247" t="s">
        <v>11</v>
      </c>
      <c r="C247" t="s">
        <v>95</v>
      </c>
      <c r="D247" s="1">
        <v>45551</v>
      </c>
      <c r="E247" s="1">
        <v>45555</v>
      </c>
      <c r="F247">
        <v>2</v>
      </c>
      <c r="G247">
        <v>327</v>
      </c>
      <c r="H247" t="s">
        <v>13</v>
      </c>
      <c r="I247" t="s">
        <v>549</v>
      </c>
      <c r="J247" t="s">
        <v>45</v>
      </c>
      <c r="K247">
        <f>YEAR(D247)</f>
        <v>2024</v>
      </c>
      <c r="L247" t="str">
        <f>TEXT(D247,"mmm")</f>
        <v>Sep</v>
      </c>
      <c r="M247" t="str">
        <f>TEXT(D247,"ddd")</f>
        <v>Mon</v>
      </c>
      <c r="N247">
        <f>DATEDIF(D247, E247, "d")</f>
        <v>4</v>
      </c>
      <c r="O247">
        <f>ROUND(Table1[[#This Row],[Unit Price]]*Table1[[#This Row],[Quantity]]*VLOOKUP(C247,Table2[#All],2,FALSE),0)</f>
        <v>458</v>
      </c>
      <c r="P247">
        <f>ROUND(F247*G247,0)</f>
        <v>654</v>
      </c>
      <c r="Q247">
        <f>ROUND((G247*F247)-O247,0)</f>
        <v>196</v>
      </c>
    </row>
    <row r="248" spans="1:17">
      <c r="A248" t="s">
        <v>113</v>
      </c>
      <c r="B248" t="s">
        <v>23</v>
      </c>
      <c r="C248" t="s">
        <v>114</v>
      </c>
      <c r="D248" s="1">
        <v>45513</v>
      </c>
      <c r="E248" s="1">
        <v>45519</v>
      </c>
      <c r="F248">
        <v>6</v>
      </c>
      <c r="G248">
        <v>660</v>
      </c>
      <c r="H248" t="s">
        <v>27</v>
      </c>
      <c r="I248" t="s">
        <v>548</v>
      </c>
      <c r="J248" t="s">
        <v>18</v>
      </c>
      <c r="K248">
        <f>YEAR(D248)</f>
        <v>2024</v>
      </c>
      <c r="L248" t="str">
        <f>TEXT(D248,"mmm")</f>
        <v>Aug</v>
      </c>
      <c r="M248" t="str">
        <f>TEXT(D248,"ddd")</f>
        <v>Fri</v>
      </c>
      <c r="N248">
        <f>DATEDIF(D248, E248, "d")</f>
        <v>6</v>
      </c>
      <c r="O248">
        <f>ROUND(Table1[[#This Row],[Unit Price]]*Table1[[#This Row],[Quantity]]*VLOOKUP(C248,Table2[#All],2,FALSE),0)</f>
        <v>2376</v>
      </c>
      <c r="P248">
        <f>ROUND(F248*G248,0)</f>
        <v>3960</v>
      </c>
      <c r="Q248">
        <f>ROUND((G248*F248)-O248,0)</f>
        <v>1584</v>
      </c>
    </row>
    <row r="249" spans="1:17">
      <c r="A249" t="s">
        <v>140</v>
      </c>
      <c r="B249" t="s">
        <v>11</v>
      </c>
      <c r="C249" t="s">
        <v>95</v>
      </c>
      <c r="D249" s="1">
        <v>45444</v>
      </c>
      <c r="E249" s="1">
        <v>45456</v>
      </c>
      <c r="F249">
        <v>10</v>
      </c>
      <c r="G249">
        <v>603</v>
      </c>
      <c r="H249" t="s">
        <v>13</v>
      </c>
      <c r="I249" t="s">
        <v>32</v>
      </c>
      <c r="J249" t="s">
        <v>45</v>
      </c>
      <c r="K249">
        <f>YEAR(D249)</f>
        <v>2024</v>
      </c>
      <c r="L249" t="str">
        <f>TEXT(D249,"mmm")</f>
        <v>Jun</v>
      </c>
      <c r="M249" t="str">
        <f>TEXT(D249,"ddd")</f>
        <v>Sat</v>
      </c>
      <c r="N249">
        <f>DATEDIF(D249, E249, "d")</f>
        <v>12</v>
      </c>
      <c r="O249">
        <f>ROUND(Table1[[#This Row],[Unit Price]]*Table1[[#This Row],[Quantity]]*VLOOKUP(C249,Table2[#All],2,FALSE),0)</f>
        <v>4221</v>
      </c>
      <c r="P249">
        <f>ROUND(F249*G249,0)</f>
        <v>6030</v>
      </c>
      <c r="Q249">
        <f>ROUND((G249*F249)-O249,0)</f>
        <v>1809</v>
      </c>
    </row>
    <row r="250" spans="1:17">
      <c r="A250" t="s">
        <v>671</v>
      </c>
      <c r="B250" t="s">
        <v>16</v>
      </c>
      <c r="C250" t="s">
        <v>55</v>
      </c>
      <c r="D250" s="1">
        <v>45466</v>
      </c>
      <c r="E250" s="1">
        <v>45474</v>
      </c>
      <c r="F250" s="67">
        <v>1</v>
      </c>
      <c r="G250">
        <v>50</v>
      </c>
      <c r="H250" t="s">
        <v>13</v>
      </c>
      <c r="I250" t="s">
        <v>546</v>
      </c>
      <c r="J250" t="s">
        <v>18</v>
      </c>
      <c r="K250">
        <f>YEAR(D250)</f>
        <v>2024</v>
      </c>
      <c r="L250" t="str">
        <f>TEXT(D250,"mmm")</f>
        <v>Jun</v>
      </c>
      <c r="M250" t="str">
        <f>TEXT(D250,"ddd")</f>
        <v>Sun</v>
      </c>
      <c r="N250">
        <f>DATEDIF(D250, E250, "d")</f>
        <v>8</v>
      </c>
      <c r="O250">
        <f>ROUND(Table1[[#This Row],[Unit Price]]*Table1[[#This Row],[Quantity]]*VLOOKUP(C250,Table2[#All],2,FALSE),0)</f>
        <v>28</v>
      </c>
      <c r="P250">
        <f>ROUND(F250*G250,0)</f>
        <v>50</v>
      </c>
      <c r="Q250">
        <f>ROUND((G250*F250)-O250,0)</f>
        <v>22</v>
      </c>
    </row>
    <row r="251" spans="1:17">
      <c r="A251" t="s">
        <v>325</v>
      </c>
      <c r="B251" t="s">
        <v>16</v>
      </c>
      <c r="C251" t="s">
        <v>43</v>
      </c>
      <c r="D251" s="1">
        <v>45471</v>
      </c>
      <c r="E251" s="1">
        <v>45484</v>
      </c>
      <c r="F251">
        <v>7</v>
      </c>
      <c r="G251">
        <v>332</v>
      </c>
      <c r="H251" t="s">
        <v>13</v>
      </c>
      <c r="I251" t="s">
        <v>548</v>
      </c>
      <c r="J251" t="s">
        <v>45</v>
      </c>
      <c r="K251">
        <f>YEAR(D251)</f>
        <v>2024</v>
      </c>
      <c r="L251" t="str">
        <f>TEXT(D251,"mmm")</f>
        <v>Jun</v>
      </c>
      <c r="M251" t="str">
        <f>TEXT(D251,"ddd")</f>
        <v>Fri</v>
      </c>
      <c r="N251">
        <f>DATEDIF(D251, E251, "d")</f>
        <v>13</v>
      </c>
      <c r="O251">
        <f>ROUND(Table1[[#This Row],[Unit Price]]*Table1[[#This Row],[Quantity]]*VLOOKUP(C251,Table2[#All],2,FALSE),0)</f>
        <v>1394</v>
      </c>
      <c r="P251">
        <f>ROUND(F251*G251,0)</f>
        <v>2324</v>
      </c>
      <c r="Q251">
        <f>ROUND((G251*F251)-O251,0)</f>
        <v>930</v>
      </c>
    </row>
    <row r="252" spans="1:17">
      <c r="A252" t="s">
        <v>539</v>
      </c>
      <c r="B252" t="s">
        <v>11</v>
      </c>
      <c r="C252" t="s">
        <v>35</v>
      </c>
      <c r="D252" s="1">
        <v>45919</v>
      </c>
      <c r="E252" s="1">
        <v>45922</v>
      </c>
      <c r="F252">
        <v>2</v>
      </c>
      <c r="G252">
        <v>722</v>
      </c>
      <c r="H252" t="s">
        <v>13</v>
      </c>
      <c r="I252" t="s">
        <v>549</v>
      </c>
      <c r="J252" t="s">
        <v>45</v>
      </c>
      <c r="K252">
        <f>YEAR(D252)</f>
        <v>2025</v>
      </c>
      <c r="L252" t="str">
        <f>TEXT(D252,"mmm")</f>
        <v>Sep</v>
      </c>
      <c r="M252" t="str">
        <f>TEXT(D252,"ddd")</f>
        <v>Fri</v>
      </c>
      <c r="N252">
        <f>DATEDIF(D252, E252, "d")</f>
        <v>3</v>
      </c>
      <c r="O252">
        <f>ROUND(Table1[[#This Row],[Unit Price]]*Table1[[#This Row],[Quantity]]*VLOOKUP(C252,Table2[#All],2,FALSE),0)</f>
        <v>1155</v>
      </c>
      <c r="P252">
        <f>ROUND(F252*G252,0)</f>
        <v>1444</v>
      </c>
      <c r="Q252">
        <f>ROUND((G252*F252)-O252,0)</f>
        <v>289</v>
      </c>
    </row>
    <row r="253" spans="1:17">
      <c r="A253" t="s">
        <v>147</v>
      </c>
      <c r="B253" t="s">
        <v>20</v>
      </c>
      <c r="C253" t="s">
        <v>51</v>
      </c>
      <c r="D253" s="1">
        <v>45502</v>
      </c>
      <c r="E253" s="1">
        <v>45513</v>
      </c>
      <c r="F253">
        <v>10</v>
      </c>
      <c r="G253">
        <v>708</v>
      </c>
      <c r="H253" t="s">
        <v>13</v>
      </c>
      <c r="I253" t="s">
        <v>548</v>
      </c>
      <c r="J253" t="s">
        <v>28</v>
      </c>
      <c r="K253">
        <f>YEAR(D253)</f>
        <v>2024</v>
      </c>
      <c r="L253" t="str">
        <f>TEXT(D253,"mmm")</f>
        <v>Jul</v>
      </c>
      <c r="M253" t="str">
        <f>TEXT(D253,"ddd")</f>
        <v>Mon</v>
      </c>
      <c r="N253">
        <f>DATEDIF(D253, E253, "d")</f>
        <v>11</v>
      </c>
      <c r="O253">
        <f>ROUND(Table1[[#This Row],[Unit Price]]*Table1[[#This Row],[Quantity]]*VLOOKUP(C253,Table2[#All],2,FALSE),0)</f>
        <v>4956</v>
      </c>
      <c r="P253">
        <f>ROUND(F253*G253,0)</f>
        <v>7080</v>
      </c>
      <c r="Q253">
        <f>ROUND((G253*F253)-O253,0)</f>
        <v>2124</v>
      </c>
    </row>
    <row r="254" spans="1:17">
      <c r="A254" t="s">
        <v>128</v>
      </c>
      <c r="B254" t="s">
        <v>20</v>
      </c>
      <c r="C254" t="s">
        <v>39</v>
      </c>
      <c r="D254" s="1">
        <v>45322</v>
      </c>
      <c r="E254" s="1">
        <v>45336</v>
      </c>
      <c r="F254">
        <v>3</v>
      </c>
      <c r="G254">
        <v>821</v>
      </c>
      <c r="H254" t="s">
        <v>27</v>
      </c>
      <c r="I254" t="s">
        <v>546</v>
      </c>
      <c r="J254" t="s">
        <v>14</v>
      </c>
      <c r="K254">
        <f>YEAR(D254)</f>
        <v>2024</v>
      </c>
      <c r="L254" t="str">
        <f>TEXT(D254,"mmm")</f>
        <v>Jan</v>
      </c>
      <c r="M254" t="str">
        <f>TEXT(D254,"ddd")</f>
        <v>Wed</v>
      </c>
      <c r="N254">
        <f>DATEDIF(D254, E254, "d")</f>
        <v>14</v>
      </c>
      <c r="O254">
        <f>ROUND(Table1[[#This Row],[Unit Price]]*Table1[[#This Row],[Quantity]]*VLOOKUP(C254,Table2[#All],2,FALSE),0)</f>
        <v>1601</v>
      </c>
      <c r="P254">
        <f>ROUND(F254*G254,0)</f>
        <v>2463</v>
      </c>
      <c r="Q254">
        <f>ROUND((G254*F254)-O254,0)</f>
        <v>862</v>
      </c>
    </row>
    <row r="255" spans="1:17">
      <c r="A255" t="s">
        <v>192</v>
      </c>
      <c r="B255" t="s">
        <v>30</v>
      </c>
      <c r="C255" t="s">
        <v>49</v>
      </c>
      <c r="D255" s="1">
        <v>45358</v>
      </c>
      <c r="E255" s="1">
        <v>45364</v>
      </c>
      <c r="F255">
        <v>10</v>
      </c>
      <c r="G255">
        <v>735</v>
      </c>
      <c r="H255" t="s">
        <v>27</v>
      </c>
      <c r="I255" t="s">
        <v>550</v>
      </c>
      <c r="J255" t="s">
        <v>18</v>
      </c>
      <c r="K255">
        <f>YEAR(D255)</f>
        <v>2024</v>
      </c>
      <c r="L255" t="str">
        <f>TEXT(D255,"mmm")</f>
        <v>Mar</v>
      </c>
      <c r="M255" t="str">
        <f>TEXT(D255,"ddd")</f>
        <v>Thu</v>
      </c>
      <c r="N255">
        <f>DATEDIF(D255, E255, "d")</f>
        <v>6</v>
      </c>
      <c r="O255">
        <f>ROUND(Table1[[#This Row],[Unit Price]]*Table1[[#This Row],[Quantity]]*VLOOKUP(C255,Table2[#All],2,FALSE),0)</f>
        <v>5145</v>
      </c>
      <c r="P255">
        <f>ROUND(F255*G255,0)</f>
        <v>7350</v>
      </c>
      <c r="Q255">
        <f>ROUND((G255*F255)-O255,0)</f>
        <v>2205</v>
      </c>
    </row>
    <row r="256" spans="1:17">
      <c r="A256" t="s">
        <v>309</v>
      </c>
      <c r="B256" t="s">
        <v>11</v>
      </c>
      <c r="C256" t="s">
        <v>95</v>
      </c>
      <c r="D256" s="1">
        <v>45570</v>
      </c>
      <c r="E256" s="1">
        <v>45574</v>
      </c>
      <c r="F256">
        <v>6</v>
      </c>
      <c r="G256">
        <v>565</v>
      </c>
      <c r="H256" t="s">
        <v>27</v>
      </c>
      <c r="I256" t="s">
        <v>548</v>
      </c>
      <c r="J256" t="s">
        <v>45</v>
      </c>
      <c r="K256">
        <f>YEAR(D256)</f>
        <v>2024</v>
      </c>
      <c r="L256" t="str">
        <f>TEXT(D256,"mmm")</f>
        <v>Oct</v>
      </c>
      <c r="M256" t="str">
        <f>TEXT(D256,"ddd")</f>
        <v>Sat</v>
      </c>
      <c r="N256">
        <f>DATEDIF(D256, E256, "d")</f>
        <v>4</v>
      </c>
      <c r="O256">
        <f>ROUND(Table1[[#This Row],[Unit Price]]*Table1[[#This Row],[Quantity]]*VLOOKUP(C256,Table2[#All],2,FALSE),0)</f>
        <v>2373</v>
      </c>
      <c r="P256">
        <f>ROUND(F256*G256,0)</f>
        <v>3390</v>
      </c>
      <c r="Q256">
        <f>ROUND((G256*F256)-O256,0)</f>
        <v>1017</v>
      </c>
    </row>
    <row r="257" spans="1:17">
      <c r="A257" t="s">
        <v>370</v>
      </c>
      <c r="B257" t="s">
        <v>11</v>
      </c>
      <c r="C257" t="s">
        <v>12</v>
      </c>
      <c r="D257" s="1">
        <v>45865</v>
      </c>
      <c r="E257" s="1">
        <v>45871</v>
      </c>
      <c r="F257">
        <v>2</v>
      </c>
      <c r="G257">
        <v>708</v>
      </c>
      <c r="H257" t="s">
        <v>27</v>
      </c>
      <c r="I257" t="s">
        <v>32</v>
      </c>
      <c r="J257" t="s">
        <v>14</v>
      </c>
      <c r="K257">
        <f>YEAR(D257)</f>
        <v>2025</v>
      </c>
      <c r="L257" t="str">
        <f>TEXT(D257,"mmm")</f>
        <v>Jul</v>
      </c>
      <c r="M257" t="str">
        <f>TEXT(D257,"ddd")</f>
        <v>Sun</v>
      </c>
      <c r="N257">
        <f>DATEDIF(D257, E257, "d")</f>
        <v>6</v>
      </c>
      <c r="O257">
        <f>ROUND(Table1[[#This Row],[Unit Price]]*Table1[[#This Row],[Quantity]]*VLOOKUP(C257,Table2[#All],2,FALSE),0)</f>
        <v>1062</v>
      </c>
      <c r="P257">
        <f>ROUND(F257*G257,0)</f>
        <v>1416</v>
      </c>
      <c r="Q257">
        <f>ROUND((G257*F257)-O257,0)</f>
        <v>354</v>
      </c>
    </row>
    <row r="258" spans="1:17">
      <c r="A258" t="s">
        <v>270</v>
      </c>
      <c r="B258" t="s">
        <v>20</v>
      </c>
      <c r="C258" t="s">
        <v>39</v>
      </c>
      <c r="D258" s="1">
        <v>45425</v>
      </c>
      <c r="E258" s="1">
        <v>45428</v>
      </c>
      <c r="F258">
        <v>9</v>
      </c>
      <c r="G258">
        <v>967</v>
      </c>
      <c r="H258" t="s">
        <v>27</v>
      </c>
      <c r="I258" t="s">
        <v>32</v>
      </c>
      <c r="J258" t="s">
        <v>14</v>
      </c>
      <c r="K258">
        <f>YEAR(D258)</f>
        <v>2024</v>
      </c>
      <c r="L258" t="str">
        <f>TEXT(D258,"mmm")</f>
        <v>May</v>
      </c>
      <c r="M258" t="str">
        <f>TEXT(D258,"ddd")</f>
        <v>Mon</v>
      </c>
      <c r="N258">
        <f>DATEDIF(D258, E258, "d")</f>
        <v>3</v>
      </c>
      <c r="O258">
        <f>ROUND(Table1[[#This Row],[Unit Price]]*Table1[[#This Row],[Quantity]]*VLOOKUP(C258,Table2[#All],2,FALSE),0)</f>
        <v>5657</v>
      </c>
      <c r="P258">
        <f>ROUND(F258*G258,0)</f>
        <v>8703</v>
      </c>
      <c r="Q258">
        <f>ROUND((G258*F258)-O258,0)</f>
        <v>3046</v>
      </c>
    </row>
    <row r="259" spans="1:17">
      <c r="A259" t="s">
        <v>377</v>
      </c>
      <c r="B259" t="s">
        <v>11</v>
      </c>
      <c r="C259" t="s">
        <v>35</v>
      </c>
      <c r="D259" s="1">
        <v>45762</v>
      </c>
      <c r="E259" s="1">
        <v>45767</v>
      </c>
      <c r="F259">
        <v>2</v>
      </c>
      <c r="G259">
        <v>280</v>
      </c>
      <c r="H259" t="s">
        <v>13</v>
      </c>
      <c r="I259" t="s">
        <v>32</v>
      </c>
      <c r="J259" t="s">
        <v>18</v>
      </c>
      <c r="K259">
        <f>YEAR(D259)</f>
        <v>2025</v>
      </c>
      <c r="L259" t="str">
        <f>TEXT(D259,"mmm")</f>
        <v>Apr</v>
      </c>
      <c r="M259" t="str">
        <f>TEXT(D259,"ddd")</f>
        <v>Tue</v>
      </c>
      <c r="N259">
        <f>DATEDIF(D259, E259, "d")</f>
        <v>5</v>
      </c>
      <c r="O259">
        <f>ROUND(Table1[[#This Row],[Unit Price]]*Table1[[#This Row],[Quantity]]*VLOOKUP(C259,Table2[#All],2,FALSE),0)</f>
        <v>448</v>
      </c>
      <c r="P259">
        <f>ROUND(F259*G259,0)</f>
        <v>560</v>
      </c>
      <c r="Q259">
        <f>ROUND((G259*F259)-O259,0)</f>
        <v>112</v>
      </c>
    </row>
    <row r="260" spans="1:17">
      <c r="A260" t="s">
        <v>381</v>
      </c>
      <c r="B260" t="s">
        <v>30</v>
      </c>
      <c r="C260" t="s">
        <v>75</v>
      </c>
      <c r="D260" s="1">
        <v>45881</v>
      </c>
      <c r="E260" s="1">
        <v>45890</v>
      </c>
      <c r="F260">
        <v>1</v>
      </c>
      <c r="G260">
        <v>521</v>
      </c>
      <c r="H260" t="s">
        <v>27</v>
      </c>
      <c r="I260" t="s">
        <v>546</v>
      </c>
      <c r="J260" t="s">
        <v>45</v>
      </c>
      <c r="K260">
        <f>YEAR(D260)</f>
        <v>2025</v>
      </c>
      <c r="L260" t="str">
        <f>TEXT(D260,"mmm")</f>
        <v>Aug</v>
      </c>
      <c r="M260" t="str">
        <f>TEXT(D260,"ddd")</f>
        <v>Tue</v>
      </c>
      <c r="N260">
        <f>DATEDIF(D260, E260, "d")</f>
        <v>9</v>
      </c>
      <c r="O260">
        <f>ROUND(Table1[[#This Row],[Unit Price]]*Table1[[#This Row],[Quantity]]*VLOOKUP(C260,Table2[#All],2,FALSE),0)</f>
        <v>391</v>
      </c>
      <c r="P260">
        <f>ROUND(F260*G260,0)</f>
        <v>521</v>
      </c>
      <c r="Q260">
        <f>ROUND((G260*F260)-O260,0)</f>
        <v>130</v>
      </c>
    </row>
    <row r="261" spans="1:17">
      <c r="A261" t="s">
        <v>536</v>
      </c>
      <c r="B261" t="s">
        <v>11</v>
      </c>
      <c r="C261" t="s">
        <v>35</v>
      </c>
      <c r="D261" s="1">
        <v>45726</v>
      </c>
      <c r="E261" s="1">
        <v>45737</v>
      </c>
      <c r="F261">
        <v>2</v>
      </c>
      <c r="G261">
        <v>944</v>
      </c>
      <c r="H261" t="s">
        <v>27</v>
      </c>
      <c r="I261" t="s">
        <v>549</v>
      </c>
      <c r="J261" t="s">
        <v>18</v>
      </c>
      <c r="K261">
        <f>YEAR(D261)</f>
        <v>2025</v>
      </c>
      <c r="L261" t="str">
        <f>TEXT(D261,"mmm")</f>
        <v>Mar</v>
      </c>
      <c r="M261" t="str">
        <f>TEXT(D261,"ddd")</f>
        <v>Mon</v>
      </c>
      <c r="N261">
        <f>DATEDIF(D261, E261, "d")</f>
        <v>11</v>
      </c>
      <c r="O261">
        <f>ROUND(Table1[[#This Row],[Unit Price]]*Table1[[#This Row],[Quantity]]*VLOOKUP(C261,Table2[#All],2,FALSE),0)</f>
        <v>1510</v>
      </c>
      <c r="P261">
        <f>ROUND(F261*G261,0)</f>
        <v>1888</v>
      </c>
      <c r="Q261">
        <f>ROUND((G261*F261)-O261,0)</f>
        <v>378</v>
      </c>
    </row>
    <row r="262" spans="1:17">
      <c r="A262" t="s">
        <v>42</v>
      </c>
      <c r="B262" t="s">
        <v>16</v>
      </c>
      <c r="C262" t="s">
        <v>43</v>
      </c>
      <c r="D262" s="1">
        <v>45477</v>
      </c>
      <c r="E262" s="1">
        <v>45480</v>
      </c>
      <c r="F262">
        <v>4</v>
      </c>
      <c r="G262">
        <v>151</v>
      </c>
      <c r="H262" t="s">
        <v>13</v>
      </c>
      <c r="I262" t="s">
        <v>32</v>
      </c>
      <c r="J262" t="s">
        <v>18</v>
      </c>
      <c r="K262">
        <f>YEAR(D262)</f>
        <v>2024</v>
      </c>
      <c r="L262" t="str">
        <f>TEXT(D262,"mmm")</f>
        <v>Jul</v>
      </c>
      <c r="M262" t="str">
        <f>TEXT(D262,"ddd")</f>
        <v>Thu</v>
      </c>
      <c r="N262">
        <f>DATEDIF(D262, E262, "d")</f>
        <v>3</v>
      </c>
      <c r="O262">
        <f>ROUND(Table1[[#This Row],[Unit Price]]*Table1[[#This Row],[Quantity]]*VLOOKUP(C262,Table2[#All],2,FALSE),0)</f>
        <v>362</v>
      </c>
      <c r="P262">
        <f>ROUND(F262*G262,0)</f>
        <v>604</v>
      </c>
      <c r="Q262">
        <f>ROUND((G262*F262)-O262,0)</f>
        <v>242</v>
      </c>
    </row>
    <row r="263" spans="1:17">
      <c r="A263" t="s">
        <v>42</v>
      </c>
      <c r="B263" t="s">
        <v>16</v>
      </c>
      <c r="C263" t="s">
        <v>43</v>
      </c>
      <c r="D263" s="1">
        <v>45477</v>
      </c>
      <c r="E263" s="1">
        <v>45480</v>
      </c>
      <c r="F263">
        <v>4</v>
      </c>
      <c r="G263">
        <v>151</v>
      </c>
      <c r="H263" t="s">
        <v>13</v>
      </c>
      <c r="I263" t="s">
        <v>32</v>
      </c>
      <c r="J263" t="s">
        <v>14</v>
      </c>
      <c r="K263">
        <f>YEAR(D263)</f>
        <v>2024</v>
      </c>
      <c r="L263" t="str">
        <f>TEXT(D263,"mmm")</f>
        <v>Jul</v>
      </c>
      <c r="M263" t="str">
        <f>TEXT(D263,"ddd")</f>
        <v>Thu</v>
      </c>
      <c r="N263">
        <f>DATEDIF(D263, E263, "d")</f>
        <v>3</v>
      </c>
      <c r="O263">
        <f>ROUND(Table1[[#This Row],[Unit Price]]*Table1[[#This Row],[Quantity]]*VLOOKUP(C263,Table2[#All],2,FALSE),0)</f>
        <v>362</v>
      </c>
      <c r="P263">
        <f>ROUND(F263*G263,0)</f>
        <v>604</v>
      </c>
      <c r="Q263">
        <f>ROUND((G263*F263)-O263,0)</f>
        <v>242</v>
      </c>
    </row>
    <row r="264" spans="1:17">
      <c r="A264" t="s">
        <v>42</v>
      </c>
      <c r="B264" t="s">
        <v>23</v>
      </c>
      <c r="C264" t="s">
        <v>24</v>
      </c>
      <c r="D264" s="1">
        <v>45814</v>
      </c>
      <c r="E264" s="1">
        <v>45817</v>
      </c>
      <c r="F264">
        <v>5</v>
      </c>
      <c r="G264">
        <v>615</v>
      </c>
      <c r="H264" t="s">
        <v>27</v>
      </c>
      <c r="I264" t="s">
        <v>548</v>
      </c>
      <c r="J264" t="s">
        <v>14</v>
      </c>
      <c r="K264">
        <f>YEAR(D264)</f>
        <v>2025</v>
      </c>
      <c r="L264" t="str">
        <f>TEXT(D264,"mmm")</f>
        <v>Jun</v>
      </c>
      <c r="M264" t="str">
        <f>TEXT(D264,"ddd")</f>
        <v>Fri</v>
      </c>
      <c r="N264">
        <f>DATEDIF(D264, E264, "d")</f>
        <v>3</v>
      </c>
      <c r="O264">
        <f>ROUND(Table1[[#This Row],[Unit Price]]*Table1[[#This Row],[Quantity]]*VLOOKUP(C264,Table2[#All],2,FALSE),0)</f>
        <v>1691</v>
      </c>
      <c r="P264">
        <f>ROUND(F264*G264,0)</f>
        <v>3075</v>
      </c>
      <c r="Q264">
        <f>ROUND((G264*F264)-O264,0)</f>
        <v>1384</v>
      </c>
    </row>
    <row r="265" spans="1:17">
      <c r="A265" t="s">
        <v>42</v>
      </c>
      <c r="B265" t="s">
        <v>11</v>
      </c>
      <c r="C265" t="s">
        <v>12</v>
      </c>
      <c r="D265" s="1">
        <v>45709</v>
      </c>
      <c r="E265" s="1">
        <v>45718</v>
      </c>
      <c r="F265">
        <v>1</v>
      </c>
      <c r="G265">
        <v>474</v>
      </c>
      <c r="H265" t="s">
        <v>27</v>
      </c>
      <c r="I265" t="s">
        <v>32</v>
      </c>
      <c r="J265" t="s">
        <v>28</v>
      </c>
      <c r="K265">
        <f>YEAR(D265)</f>
        <v>2025</v>
      </c>
      <c r="L265" t="str">
        <f>TEXT(D265,"mmm")</f>
        <v>Feb</v>
      </c>
      <c r="M265" t="str">
        <f>TEXT(D265,"ddd")</f>
        <v>Fri</v>
      </c>
      <c r="N265">
        <f>DATEDIF(D265, E265, "d")</f>
        <v>9</v>
      </c>
      <c r="O265">
        <f>ROUND(Table1[[#This Row],[Unit Price]]*Table1[[#This Row],[Quantity]]*VLOOKUP(C265,Table2[#All],2,FALSE),0)</f>
        <v>356</v>
      </c>
      <c r="P265">
        <f>ROUND(F265*G265,0)</f>
        <v>474</v>
      </c>
      <c r="Q265">
        <f>ROUND((G265*F265)-O265,0)</f>
        <v>118</v>
      </c>
    </row>
    <row r="266" spans="1:17">
      <c r="A266" t="s">
        <v>242</v>
      </c>
      <c r="B266" t="s">
        <v>16</v>
      </c>
      <c r="C266" t="s">
        <v>63</v>
      </c>
      <c r="D266" s="1">
        <v>45565</v>
      </c>
      <c r="E266" s="1">
        <v>45571</v>
      </c>
      <c r="F266">
        <v>1</v>
      </c>
      <c r="G266">
        <v>945</v>
      </c>
      <c r="H266" t="s">
        <v>13</v>
      </c>
      <c r="I266" t="s">
        <v>550</v>
      </c>
      <c r="J266" t="s">
        <v>45</v>
      </c>
      <c r="K266">
        <f>YEAR(D266)</f>
        <v>2024</v>
      </c>
      <c r="L266" t="str">
        <f>TEXT(D266,"mmm")</f>
        <v>Sep</v>
      </c>
      <c r="M266" t="str">
        <f>TEXT(D266,"ddd")</f>
        <v>Mon</v>
      </c>
      <c r="N266">
        <f>DATEDIF(D266, E266, "d")</f>
        <v>6</v>
      </c>
      <c r="O266">
        <f>ROUND(Table1[[#This Row],[Unit Price]]*Table1[[#This Row],[Quantity]]*VLOOKUP(C266,Table2[#All],2,FALSE),0)</f>
        <v>473</v>
      </c>
      <c r="P266">
        <f>ROUND(F266*G266,0)</f>
        <v>945</v>
      </c>
      <c r="Q266">
        <f>ROUND((G266*F266)-O266,0)</f>
        <v>472</v>
      </c>
    </row>
    <row r="267" spans="1:17">
      <c r="A267" t="s">
        <v>511</v>
      </c>
      <c r="B267" t="s">
        <v>23</v>
      </c>
      <c r="C267" t="s">
        <v>37</v>
      </c>
      <c r="D267" s="1">
        <v>45942</v>
      </c>
      <c r="E267" s="1">
        <v>45945</v>
      </c>
      <c r="F267">
        <v>3</v>
      </c>
      <c r="G267">
        <v>960</v>
      </c>
      <c r="H267" t="s">
        <v>13</v>
      </c>
      <c r="I267" t="s">
        <v>546</v>
      </c>
      <c r="J267" t="s">
        <v>45</v>
      </c>
      <c r="K267">
        <f>YEAR(D267)</f>
        <v>2025</v>
      </c>
      <c r="L267" t="str">
        <f>TEXT(D267,"mmm")</f>
        <v>Oct</v>
      </c>
      <c r="M267" t="str">
        <f>TEXT(D267,"ddd")</f>
        <v>Sun</v>
      </c>
      <c r="N267">
        <f>DATEDIF(D267, E267, "d")</f>
        <v>3</v>
      </c>
      <c r="O267">
        <f>ROUND(Table1[[#This Row],[Unit Price]]*Table1[[#This Row],[Quantity]]*VLOOKUP(C267,Table2[#All],2,FALSE),0)</f>
        <v>1440</v>
      </c>
      <c r="P267">
        <f>ROUND(F267*G267,0)</f>
        <v>2880</v>
      </c>
      <c r="Q267">
        <f>ROUND((G267*F267)-O267,0)</f>
        <v>1440</v>
      </c>
    </row>
    <row r="268" spans="1:17">
      <c r="A268" t="s">
        <v>83</v>
      </c>
      <c r="B268" t="s">
        <v>11</v>
      </c>
      <c r="C268" t="s">
        <v>26</v>
      </c>
      <c r="D268" s="1">
        <v>45433</v>
      </c>
      <c r="E268" s="1">
        <v>45437</v>
      </c>
      <c r="F268">
        <v>1</v>
      </c>
      <c r="G268">
        <v>13</v>
      </c>
      <c r="H268" t="s">
        <v>27</v>
      </c>
      <c r="I268" t="s">
        <v>546</v>
      </c>
      <c r="J268" t="s">
        <v>28</v>
      </c>
      <c r="K268">
        <f>YEAR(D268)</f>
        <v>2024</v>
      </c>
      <c r="L268" t="str">
        <f>TEXT(D268,"mmm")</f>
        <v>May</v>
      </c>
      <c r="M268" t="str">
        <f>TEXT(D268,"ddd")</f>
        <v>Tue</v>
      </c>
      <c r="N268">
        <f>DATEDIF(D268, E268, "d")</f>
        <v>4</v>
      </c>
      <c r="O268">
        <f>ROUND(Table1[[#This Row],[Unit Price]]*Table1[[#This Row],[Quantity]]*VLOOKUP(C268,Table2[#All],2,FALSE),0)</f>
        <v>8</v>
      </c>
      <c r="P268">
        <f>ROUND(F268*G268,0)</f>
        <v>13</v>
      </c>
      <c r="Q268">
        <f>ROUND((G268*F268)-O268,0)</f>
        <v>5</v>
      </c>
    </row>
    <row r="269" spans="1:17">
      <c r="A269" t="s">
        <v>83</v>
      </c>
      <c r="B269" t="s">
        <v>16</v>
      </c>
      <c r="C269" t="s">
        <v>43</v>
      </c>
      <c r="D269" s="1">
        <v>45844</v>
      </c>
      <c r="E269" s="1">
        <v>45852</v>
      </c>
      <c r="F269">
        <v>1</v>
      </c>
      <c r="G269">
        <v>256</v>
      </c>
      <c r="H269" t="s">
        <v>13</v>
      </c>
      <c r="I269" t="s">
        <v>32</v>
      </c>
      <c r="J269" t="s">
        <v>45</v>
      </c>
      <c r="K269">
        <f>YEAR(D269)</f>
        <v>2025</v>
      </c>
      <c r="L269" t="str">
        <f>TEXT(D269,"mmm")</f>
        <v>Jul</v>
      </c>
      <c r="M269" t="str">
        <f>TEXT(D269,"ddd")</f>
        <v>Sun</v>
      </c>
      <c r="N269">
        <f>DATEDIF(D269, E269, "d")</f>
        <v>8</v>
      </c>
      <c r="O269">
        <f>ROUND(Table1[[#This Row],[Unit Price]]*Table1[[#This Row],[Quantity]]*VLOOKUP(C269,Table2[#All],2,FALSE),0)</f>
        <v>154</v>
      </c>
      <c r="P269">
        <f>ROUND(F269*G269,0)</f>
        <v>256</v>
      </c>
      <c r="Q269">
        <f>ROUND((G269*F269)-O269,0)</f>
        <v>102</v>
      </c>
    </row>
    <row r="270" spans="1:17">
      <c r="A270" t="s">
        <v>62</v>
      </c>
      <c r="B270" t="s">
        <v>16</v>
      </c>
      <c r="C270" t="s">
        <v>63</v>
      </c>
      <c r="D270" s="1">
        <v>45295</v>
      </c>
      <c r="E270" s="1">
        <v>45306</v>
      </c>
      <c r="F270">
        <v>2</v>
      </c>
      <c r="G270">
        <v>734</v>
      </c>
      <c r="H270" t="s">
        <v>13</v>
      </c>
      <c r="I270" t="s">
        <v>32</v>
      </c>
      <c r="J270" t="s">
        <v>45</v>
      </c>
      <c r="K270">
        <f>YEAR(D270)</f>
        <v>2024</v>
      </c>
      <c r="L270" t="str">
        <f>TEXT(D270,"mmm")</f>
        <v>Jan</v>
      </c>
      <c r="M270" t="str">
        <f>TEXT(D270,"ddd")</f>
        <v>Thu</v>
      </c>
      <c r="N270">
        <f>DATEDIF(D270, E270, "d")</f>
        <v>11</v>
      </c>
      <c r="O270">
        <f>ROUND(Table1[[#This Row],[Unit Price]]*Table1[[#This Row],[Quantity]]*VLOOKUP(C270,Table2[#All],2,FALSE),0)</f>
        <v>734</v>
      </c>
      <c r="P270">
        <f>ROUND(F270*G270,0)</f>
        <v>1468</v>
      </c>
      <c r="Q270">
        <f>ROUND((G270*F270)-O270,0)</f>
        <v>734</v>
      </c>
    </row>
    <row r="271" spans="1:17">
      <c r="A271" t="s">
        <v>62</v>
      </c>
      <c r="B271" t="s">
        <v>20</v>
      </c>
      <c r="C271" t="s">
        <v>82</v>
      </c>
      <c r="D271" s="1">
        <v>45753</v>
      </c>
      <c r="E271" s="1">
        <v>45759</v>
      </c>
      <c r="F271">
        <v>5</v>
      </c>
      <c r="G271">
        <v>63</v>
      </c>
      <c r="H271" t="s">
        <v>13</v>
      </c>
      <c r="I271" t="s">
        <v>548</v>
      </c>
      <c r="J271" t="s">
        <v>45</v>
      </c>
      <c r="K271">
        <f>YEAR(D271)</f>
        <v>2025</v>
      </c>
      <c r="L271" t="str">
        <f>TEXT(D271,"mmm")</f>
        <v>Apr</v>
      </c>
      <c r="M271" t="str">
        <f>TEXT(D271,"ddd")</f>
        <v>Sun</v>
      </c>
      <c r="N271">
        <f>DATEDIF(D271, E271, "d")</f>
        <v>6</v>
      </c>
      <c r="O271">
        <f>ROUND(Table1[[#This Row],[Unit Price]]*Table1[[#This Row],[Quantity]]*VLOOKUP(C271,Table2[#All],2,FALSE),0)</f>
        <v>252</v>
      </c>
      <c r="P271">
        <f>ROUND(F271*G271,0)</f>
        <v>315</v>
      </c>
      <c r="Q271">
        <f>ROUND((G271*F271)-O271,0)</f>
        <v>63</v>
      </c>
    </row>
    <row r="272" spans="1:17">
      <c r="A272" t="s">
        <v>272</v>
      </c>
      <c r="B272" t="s">
        <v>20</v>
      </c>
      <c r="C272" t="s">
        <v>21</v>
      </c>
      <c r="D272" s="1">
        <v>45573</v>
      </c>
      <c r="E272" s="1">
        <v>45582</v>
      </c>
      <c r="F272">
        <v>6</v>
      </c>
      <c r="G272">
        <v>273</v>
      </c>
      <c r="H272" t="s">
        <v>27</v>
      </c>
      <c r="I272" t="s">
        <v>548</v>
      </c>
      <c r="J272" t="s">
        <v>45</v>
      </c>
      <c r="K272">
        <f>YEAR(D272)</f>
        <v>2024</v>
      </c>
      <c r="L272" t="str">
        <f>TEXT(D272,"mmm")</f>
        <v>Oct</v>
      </c>
      <c r="M272" t="str">
        <f>TEXT(D272,"ddd")</f>
        <v>Tue</v>
      </c>
      <c r="N272">
        <f>DATEDIF(D272, E272, "d")</f>
        <v>9</v>
      </c>
      <c r="O272">
        <f>ROUND(Table1[[#This Row],[Unit Price]]*Table1[[#This Row],[Quantity]]*VLOOKUP(C272,Table2[#All],2,FALSE),0)</f>
        <v>1229</v>
      </c>
      <c r="P272">
        <f>ROUND(F272*G272,0)</f>
        <v>1638</v>
      </c>
      <c r="Q272">
        <f>ROUND((G272*F272)-O272,0)</f>
        <v>409</v>
      </c>
    </row>
    <row r="273" spans="1:17">
      <c r="A273" t="s">
        <v>98</v>
      </c>
      <c r="B273" t="s">
        <v>23</v>
      </c>
      <c r="C273" t="s">
        <v>99</v>
      </c>
      <c r="D273" s="1">
        <v>45382</v>
      </c>
      <c r="E273" s="1">
        <v>45387</v>
      </c>
      <c r="F273">
        <v>9</v>
      </c>
      <c r="G273">
        <v>485</v>
      </c>
      <c r="H273" t="s">
        <v>13</v>
      </c>
      <c r="I273" t="s">
        <v>550</v>
      </c>
      <c r="J273" t="s">
        <v>18</v>
      </c>
      <c r="K273">
        <f>YEAR(D273)</f>
        <v>2024</v>
      </c>
      <c r="L273" t="str">
        <f>TEXT(D273,"mmm")</f>
        <v>Mar</v>
      </c>
      <c r="M273" t="str">
        <f>TEXT(D273,"ddd")</f>
        <v>Sun</v>
      </c>
      <c r="N273">
        <f>DATEDIF(D273, E273, "d")</f>
        <v>5</v>
      </c>
      <c r="O273">
        <f>ROUND(Table1[[#This Row],[Unit Price]]*Table1[[#This Row],[Quantity]]*VLOOKUP(C273,Table2[#All],2,FALSE),0)</f>
        <v>2619</v>
      </c>
      <c r="P273">
        <f>ROUND(F273*G273,0)</f>
        <v>4365</v>
      </c>
      <c r="Q273">
        <f>ROUND((G273*F273)-O273,0)</f>
        <v>1746</v>
      </c>
    </row>
    <row r="274" spans="1:17">
      <c r="A274" t="s">
        <v>98</v>
      </c>
      <c r="B274" t="s">
        <v>11</v>
      </c>
      <c r="C274" t="s">
        <v>12</v>
      </c>
      <c r="D274" s="1">
        <v>46003</v>
      </c>
      <c r="E274" s="1">
        <v>46013</v>
      </c>
      <c r="F274">
        <v>1</v>
      </c>
      <c r="G274">
        <v>159</v>
      </c>
      <c r="H274" t="s">
        <v>13</v>
      </c>
      <c r="I274" t="s">
        <v>549</v>
      </c>
      <c r="J274" t="s">
        <v>14</v>
      </c>
      <c r="K274">
        <f>YEAR(D274)</f>
        <v>2025</v>
      </c>
      <c r="L274" t="str">
        <f>TEXT(D274,"mmm")</f>
        <v>Dec</v>
      </c>
      <c r="M274" t="str">
        <f>TEXT(D274,"ddd")</f>
        <v>Fri</v>
      </c>
      <c r="N274">
        <f>DATEDIF(D274, E274, "d")</f>
        <v>10</v>
      </c>
      <c r="O274">
        <f>ROUND(Table1[[#This Row],[Unit Price]]*Table1[[#This Row],[Quantity]]*VLOOKUP(C274,Table2[#All],2,FALSE),0)</f>
        <v>119</v>
      </c>
      <c r="P274">
        <f>ROUND(F274*G274,0)</f>
        <v>159</v>
      </c>
      <c r="Q274">
        <f>ROUND((G274*F274)-O274,0)</f>
        <v>40</v>
      </c>
    </row>
    <row r="275" spans="1:17">
      <c r="A275" t="s">
        <v>319</v>
      </c>
      <c r="B275" t="s">
        <v>11</v>
      </c>
      <c r="C275" t="s">
        <v>95</v>
      </c>
      <c r="D275" s="1">
        <v>45632</v>
      </c>
      <c r="E275" s="1">
        <v>45639</v>
      </c>
      <c r="F275">
        <v>3</v>
      </c>
      <c r="G275">
        <v>63</v>
      </c>
      <c r="H275" t="s">
        <v>27</v>
      </c>
      <c r="I275" t="s">
        <v>549</v>
      </c>
      <c r="J275" t="s">
        <v>18</v>
      </c>
      <c r="K275">
        <f>YEAR(D275)</f>
        <v>2024</v>
      </c>
      <c r="L275" t="str">
        <f>TEXT(D275,"mmm")</f>
        <v>Dec</v>
      </c>
      <c r="M275" t="str">
        <f>TEXT(D275,"ddd")</f>
        <v>Fri</v>
      </c>
      <c r="N275">
        <f>DATEDIF(D275, E275, "d")</f>
        <v>7</v>
      </c>
      <c r="O275">
        <f>ROUND(Table1[[#This Row],[Unit Price]]*Table1[[#This Row],[Quantity]]*VLOOKUP(C275,Table2[#All],2,FALSE),0)</f>
        <v>132</v>
      </c>
      <c r="P275">
        <f>ROUND(F275*G275,0)</f>
        <v>189</v>
      </c>
      <c r="Q275">
        <f>ROUND((G275*F275)-O275,0)</f>
        <v>57</v>
      </c>
    </row>
    <row r="276" spans="1:17">
      <c r="A276" t="s">
        <v>185</v>
      </c>
      <c r="B276" t="s">
        <v>23</v>
      </c>
      <c r="C276" t="s">
        <v>69</v>
      </c>
      <c r="D276" s="1">
        <v>45621</v>
      </c>
      <c r="E276" s="1">
        <v>45624</v>
      </c>
      <c r="F276">
        <v>10</v>
      </c>
      <c r="G276">
        <v>340</v>
      </c>
      <c r="H276" t="s">
        <v>13</v>
      </c>
      <c r="I276" t="s">
        <v>548</v>
      </c>
      <c r="J276" t="s">
        <v>28</v>
      </c>
      <c r="K276">
        <f>YEAR(D276)</f>
        <v>2024</v>
      </c>
      <c r="L276" t="str">
        <f>TEXT(D276,"mmm")</f>
        <v>Nov</v>
      </c>
      <c r="M276" t="str">
        <f>TEXT(D276,"ddd")</f>
        <v>Mon</v>
      </c>
      <c r="N276">
        <f>DATEDIF(D276, E276, "d")</f>
        <v>3</v>
      </c>
      <c r="O276">
        <f>ROUND(Table1[[#This Row],[Unit Price]]*Table1[[#This Row],[Quantity]]*VLOOKUP(C276,Table2[#All],2,FALSE),0)</f>
        <v>1870</v>
      </c>
      <c r="P276">
        <f>ROUND(F276*G276,0)</f>
        <v>3400</v>
      </c>
      <c r="Q276">
        <f>ROUND((G276*F276)-O276,0)</f>
        <v>1530</v>
      </c>
    </row>
    <row r="277" spans="1:17">
      <c r="A277" t="s">
        <v>180</v>
      </c>
      <c r="B277" t="s">
        <v>16</v>
      </c>
      <c r="C277" t="s">
        <v>43</v>
      </c>
      <c r="D277" s="1">
        <v>45560</v>
      </c>
      <c r="E277" s="1">
        <v>45572</v>
      </c>
      <c r="F277">
        <v>2</v>
      </c>
      <c r="G277">
        <v>415</v>
      </c>
      <c r="H277" t="s">
        <v>27</v>
      </c>
      <c r="I277" t="s">
        <v>548</v>
      </c>
      <c r="J277" t="s">
        <v>28</v>
      </c>
      <c r="K277">
        <f>YEAR(D277)</f>
        <v>2024</v>
      </c>
      <c r="L277" t="str">
        <f>TEXT(D277,"mmm")</f>
        <v>Sep</v>
      </c>
      <c r="M277" t="str">
        <f>TEXT(D277,"ddd")</f>
        <v>Wed</v>
      </c>
      <c r="N277">
        <f>DATEDIF(D277, E277, "d")</f>
        <v>12</v>
      </c>
      <c r="O277">
        <f>ROUND(Table1[[#This Row],[Unit Price]]*Table1[[#This Row],[Quantity]]*VLOOKUP(C277,Table2[#All],2,FALSE),0)</f>
        <v>498</v>
      </c>
      <c r="P277">
        <f>ROUND(F277*G277,0)</f>
        <v>830</v>
      </c>
      <c r="Q277">
        <f>ROUND((G277*F277)-O277,0)</f>
        <v>332</v>
      </c>
    </row>
    <row r="278" spans="1:17">
      <c r="A278" t="s">
        <v>403</v>
      </c>
      <c r="B278" t="s">
        <v>20</v>
      </c>
      <c r="C278" t="s">
        <v>82</v>
      </c>
      <c r="D278" s="1">
        <v>45700</v>
      </c>
      <c r="E278" s="1">
        <v>45701</v>
      </c>
      <c r="F278">
        <v>8</v>
      </c>
      <c r="G278">
        <v>509</v>
      </c>
      <c r="H278" t="s">
        <v>13</v>
      </c>
      <c r="I278" t="s">
        <v>32</v>
      </c>
      <c r="J278" t="s">
        <v>18</v>
      </c>
      <c r="K278">
        <f>YEAR(D278)</f>
        <v>2025</v>
      </c>
      <c r="L278" t="str">
        <f>TEXT(D278,"mmm")</f>
        <v>Feb</v>
      </c>
      <c r="M278" t="str">
        <f>TEXT(D278,"ddd")</f>
        <v>Wed</v>
      </c>
      <c r="N278">
        <f>DATEDIF(D278, E278, "d")</f>
        <v>1</v>
      </c>
      <c r="O278">
        <f>ROUND(Table1[[#This Row],[Unit Price]]*Table1[[#This Row],[Quantity]]*VLOOKUP(C278,Table2[#All],2,FALSE),0)</f>
        <v>3258</v>
      </c>
      <c r="P278">
        <f>ROUND(F278*G278,0)</f>
        <v>4072</v>
      </c>
      <c r="Q278">
        <f>ROUND((G278*F278)-O278,0)</f>
        <v>814</v>
      </c>
    </row>
    <row r="279" spans="1:17">
      <c r="A279" t="s">
        <v>256</v>
      </c>
      <c r="B279" t="s">
        <v>23</v>
      </c>
      <c r="C279" t="s">
        <v>37</v>
      </c>
      <c r="D279" s="1">
        <v>45485</v>
      </c>
      <c r="E279" s="1">
        <v>45490</v>
      </c>
      <c r="F279">
        <v>7</v>
      </c>
      <c r="G279">
        <v>92</v>
      </c>
      <c r="H279" t="s">
        <v>13</v>
      </c>
      <c r="I279" t="s">
        <v>32</v>
      </c>
      <c r="J279" t="s">
        <v>14</v>
      </c>
      <c r="K279">
        <f>YEAR(D279)</f>
        <v>2024</v>
      </c>
      <c r="L279" t="str">
        <f>TEXT(D279,"mmm")</f>
        <v>Jul</v>
      </c>
      <c r="M279" t="str">
        <f>TEXT(D279,"ddd")</f>
        <v>Fri</v>
      </c>
      <c r="N279">
        <f>DATEDIF(D279, E279, "d")</f>
        <v>5</v>
      </c>
      <c r="O279">
        <f>ROUND(Table1[[#This Row],[Unit Price]]*Table1[[#This Row],[Quantity]]*VLOOKUP(C279,Table2[#All],2,FALSE),0)</f>
        <v>322</v>
      </c>
      <c r="P279">
        <f>ROUND(F279*G279,0)</f>
        <v>644</v>
      </c>
      <c r="Q279">
        <f>ROUND((G279*F279)-O279,0)</f>
        <v>322</v>
      </c>
    </row>
    <row r="280" spans="1:17">
      <c r="A280" s="18" t="s">
        <v>612</v>
      </c>
      <c r="B280" s="18" t="s">
        <v>30</v>
      </c>
      <c r="C280" s="18" t="s">
        <v>41</v>
      </c>
      <c r="D280" s="29">
        <v>45393</v>
      </c>
      <c r="E280" s="29">
        <v>45394</v>
      </c>
      <c r="F280" s="18">
        <v>3</v>
      </c>
      <c r="G280" s="18">
        <v>90</v>
      </c>
      <c r="H280" s="18" t="s">
        <v>27</v>
      </c>
      <c r="I280" s="18" t="s">
        <v>32</v>
      </c>
      <c r="J280" s="18" t="s">
        <v>45</v>
      </c>
      <c r="K280">
        <f>YEAR(D280)</f>
        <v>2024</v>
      </c>
      <c r="L280" t="str">
        <f>TEXT(D280,"mmm")</f>
        <v>Apr</v>
      </c>
      <c r="M280" t="str">
        <f>TEXT(D280,"ddd")</f>
        <v>Thu</v>
      </c>
      <c r="N280">
        <f>DATEDIF(D280, E280, "d")</f>
        <v>1</v>
      </c>
      <c r="O280">
        <f>ROUND(Table1[[#This Row],[Unit Price]]*Table1[[#This Row],[Quantity]]*VLOOKUP(C280,Table2[#All],2,FALSE),0)</f>
        <v>176</v>
      </c>
      <c r="P280">
        <f>ROUND(F280*G280,0)</f>
        <v>270</v>
      </c>
      <c r="Q280">
        <f>ROUND((G280*F280)-O280,0)</f>
        <v>94</v>
      </c>
    </row>
    <row r="281" spans="1:17">
      <c r="A281" t="s">
        <v>478</v>
      </c>
      <c r="B281" t="s">
        <v>30</v>
      </c>
      <c r="C281" t="s">
        <v>41</v>
      </c>
      <c r="D281" s="1">
        <v>45798</v>
      </c>
      <c r="E281" s="1">
        <v>45804</v>
      </c>
      <c r="F281">
        <v>1</v>
      </c>
      <c r="G281">
        <v>773</v>
      </c>
      <c r="H281" t="s">
        <v>27</v>
      </c>
      <c r="I281" t="s">
        <v>32</v>
      </c>
      <c r="J281" t="s">
        <v>14</v>
      </c>
      <c r="K281">
        <f>YEAR(D281)</f>
        <v>2025</v>
      </c>
      <c r="L281" t="str">
        <f>TEXT(D281,"mmm")</f>
        <v>May</v>
      </c>
      <c r="M281" t="str">
        <f>TEXT(D281,"ddd")</f>
        <v>Wed</v>
      </c>
      <c r="N281">
        <f>DATEDIF(D281, E281, "d")</f>
        <v>6</v>
      </c>
      <c r="O281">
        <f>ROUND(Table1[[#This Row],[Unit Price]]*Table1[[#This Row],[Quantity]]*VLOOKUP(C281,Table2[#All],2,FALSE),0)</f>
        <v>502</v>
      </c>
      <c r="P281">
        <f>ROUND(F281*G281,0)</f>
        <v>773</v>
      </c>
      <c r="Q281">
        <f>ROUND((G281*F281)-O281,0)</f>
        <v>271</v>
      </c>
    </row>
    <row r="282" spans="1:17">
      <c r="A282" t="s">
        <v>281</v>
      </c>
      <c r="B282" t="s">
        <v>20</v>
      </c>
      <c r="C282" t="s">
        <v>39</v>
      </c>
      <c r="D282" s="1">
        <v>45547</v>
      </c>
      <c r="E282" s="1">
        <v>45555</v>
      </c>
      <c r="F282">
        <v>7</v>
      </c>
      <c r="G282">
        <v>670</v>
      </c>
      <c r="H282" t="s">
        <v>27</v>
      </c>
      <c r="I282" t="s">
        <v>548</v>
      </c>
      <c r="J282" t="s">
        <v>45</v>
      </c>
      <c r="K282">
        <f>YEAR(D282)</f>
        <v>2024</v>
      </c>
      <c r="L282" t="str">
        <f>TEXT(D282,"mmm")</f>
        <v>Sep</v>
      </c>
      <c r="M282" t="str">
        <f>TEXT(D282,"ddd")</f>
        <v>Thu</v>
      </c>
      <c r="N282">
        <f>DATEDIF(D282, E282, "d")</f>
        <v>8</v>
      </c>
      <c r="O282">
        <f>ROUND(Table1[[#This Row],[Unit Price]]*Table1[[#This Row],[Quantity]]*VLOOKUP(C282,Table2[#All],2,FALSE),0)</f>
        <v>3049</v>
      </c>
      <c r="P282">
        <f>ROUND(F282*G282,0)</f>
        <v>4690</v>
      </c>
      <c r="Q282">
        <f>ROUND((G282*F282)-O282,0)</f>
        <v>1641</v>
      </c>
    </row>
    <row r="283" spans="1:17">
      <c r="A283" t="s">
        <v>452</v>
      </c>
      <c r="B283" t="s">
        <v>16</v>
      </c>
      <c r="C283" t="s">
        <v>55</v>
      </c>
      <c r="D283" s="1">
        <v>45732</v>
      </c>
      <c r="E283" s="1">
        <v>45743</v>
      </c>
      <c r="F283">
        <v>9</v>
      </c>
      <c r="G283">
        <v>309</v>
      </c>
      <c r="H283" t="s">
        <v>27</v>
      </c>
      <c r="I283" t="s">
        <v>546</v>
      </c>
      <c r="J283" t="s">
        <v>45</v>
      </c>
      <c r="K283">
        <f>YEAR(D283)</f>
        <v>2025</v>
      </c>
      <c r="L283" t="str">
        <f>TEXT(D283,"mmm")</f>
        <v>Mar</v>
      </c>
      <c r="M283" t="str">
        <f>TEXT(D283,"ddd")</f>
        <v>Sun</v>
      </c>
      <c r="N283">
        <f>DATEDIF(D283, E283, "d")</f>
        <v>11</v>
      </c>
      <c r="O283">
        <f>ROUND(Table1[[#This Row],[Unit Price]]*Table1[[#This Row],[Quantity]]*VLOOKUP(C283,Table2[#All],2,FALSE),0)</f>
        <v>1530</v>
      </c>
      <c r="P283">
        <f>ROUND(F283*G283,0)</f>
        <v>2781</v>
      </c>
      <c r="Q283">
        <f>ROUND((G283*F283)-O283,0)</f>
        <v>1251</v>
      </c>
    </row>
    <row r="284" spans="1:17">
      <c r="A284" t="s">
        <v>132</v>
      </c>
      <c r="B284" t="s">
        <v>16</v>
      </c>
      <c r="C284" t="s">
        <v>43</v>
      </c>
      <c r="D284" s="1">
        <v>45434</v>
      </c>
      <c r="E284" s="1">
        <v>45444</v>
      </c>
      <c r="F284">
        <v>3</v>
      </c>
      <c r="G284">
        <v>609</v>
      </c>
      <c r="H284" t="s">
        <v>13</v>
      </c>
      <c r="I284" t="s">
        <v>549</v>
      </c>
      <c r="J284" t="s">
        <v>14</v>
      </c>
      <c r="K284">
        <f>YEAR(D284)</f>
        <v>2024</v>
      </c>
      <c r="L284" t="str">
        <f>TEXT(D284,"mmm")</f>
        <v>May</v>
      </c>
      <c r="M284" t="str">
        <f>TEXT(D284,"ddd")</f>
        <v>Wed</v>
      </c>
      <c r="N284">
        <f>DATEDIF(D284, E284, "d")</f>
        <v>10</v>
      </c>
      <c r="O284">
        <f>ROUND(Table1[[#This Row],[Unit Price]]*Table1[[#This Row],[Quantity]]*VLOOKUP(C284,Table2[#All],2,FALSE),0)</f>
        <v>1096</v>
      </c>
      <c r="P284">
        <f>ROUND(F284*G284,0)</f>
        <v>1827</v>
      </c>
      <c r="Q284">
        <f>ROUND((G284*F284)-O284,0)</f>
        <v>731</v>
      </c>
    </row>
    <row r="285" spans="1:17">
      <c r="A285" t="s">
        <v>141</v>
      </c>
      <c r="B285" t="s">
        <v>11</v>
      </c>
      <c r="C285" t="s">
        <v>35</v>
      </c>
      <c r="D285" s="1">
        <v>45525</v>
      </c>
      <c r="E285" s="1">
        <v>45537</v>
      </c>
      <c r="F285">
        <v>1</v>
      </c>
      <c r="G285">
        <v>749</v>
      </c>
      <c r="H285" t="s">
        <v>27</v>
      </c>
      <c r="I285" t="s">
        <v>550</v>
      </c>
      <c r="J285" t="s">
        <v>14</v>
      </c>
      <c r="K285">
        <f>YEAR(D285)</f>
        <v>2024</v>
      </c>
      <c r="L285" t="str">
        <f>TEXT(D285,"mmm")</f>
        <v>Aug</v>
      </c>
      <c r="M285" t="str">
        <f>TEXT(D285,"ddd")</f>
        <v>Wed</v>
      </c>
      <c r="N285">
        <f>DATEDIF(D285, E285, "d")</f>
        <v>12</v>
      </c>
      <c r="O285">
        <f>ROUND(Table1[[#This Row],[Unit Price]]*Table1[[#This Row],[Quantity]]*VLOOKUP(C285,Table2[#All],2,FALSE),0)</f>
        <v>599</v>
      </c>
      <c r="P285">
        <f>ROUND(F285*G285,0)</f>
        <v>749</v>
      </c>
      <c r="Q285">
        <f>ROUND((G285*F285)-O285,0)</f>
        <v>150</v>
      </c>
    </row>
    <row r="286" spans="1:17">
      <c r="A286" t="s">
        <v>491</v>
      </c>
      <c r="B286" t="s">
        <v>20</v>
      </c>
      <c r="C286" t="s">
        <v>82</v>
      </c>
      <c r="D286" s="1">
        <v>45924</v>
      </c>
      <c r="E286" s="1">
        <v>45925</v>
      </c>
      <c r="F286">
        <v>6</v>
      </c>
      <c r="G286">
        <v>252</v>
      </c>
      <c r="H286" t="s">
        <v>13</v>
      </c>
      <c r="I286" t="s">
        <v>550</v>
      </c>
      <c r="J286" t="s">
        <v>14</v>
      </c>
      <c r="K286">
        <f>YEAR(D286)</f>
        <v>2025</v>
      </c>
      <c r="L286" t="str">
        <f>TEXT(D286,"mmm")</f>
        <v>Sep</v>
      </c>
      <c r="M286" t="str">
        <f>TEXT(D286,"ddd")</f>
        <v>Wed</v>
      </c>
      <c r="N286">
        <f>DATEDIF(D286, E286, "d")</f>
        <v>1</v>
      </c>
      <c r="O286">
        <f>ROUND(Table1[[#This Row],[Unit Price]]*Table1[[#This Row],[Quantity]]*VLOOKUP(C286,Table2[#All],2,FALSE),0)</f>
        <v>1210</v>
      </c>
      <c r="P286">
        <f>ROUND(F286*G286,0)</f>
        <v>1512</v>
      </c>
      <c r="Q286">
        <f>ROUND((G286*F286)-O286,0)</f>
        <v>302</v>
      </c>
    </row>
    <row r="287" spans="1:17">
      <c r="A287" t="s">
        <v>323</v>
      </c>
      <c r="B287" t="s">
        <v>20</v>
      </c>
      <c r="C287" t="s">
        <v>21</v>
      </c>
      <c r="D287" s="1">
        <v>45360</v>
      </c>
      <c r="E287" s="1">
        <v>45371</v>
      </c>
      <c r="F287">
        <v>3</v>
      </c>
      <c r="G287">
        <v>80</v>
      </c>
      <c r="H287" t="s">
        <v>13</v>
      </c>
      <c r="I287" t="s">
        <v>551</v>
      </c>
      <c r="J287" t="s">
        <v>45</v>
      </c>
      <c r="K287">
        <f>YEAR(D287)</f>
        <v>2024</v>
      </c>
      <c r="L287" t="str">
        <f>TEXT(D287,"mmm")</f>
        <v>Mar</v>
      </c>
      <c r="M287" t="str">
        <f>TEXT(D287,"ddd")</f>
        <v>Sat</v>
      </c>
      <c r="N287">
        <f>DATEDIF(D287, E287, "d")</f>
        <v>11</v>
      </c>
      <c r="O287">
        <f>ROUND(Table1[[#This Row],[Unit Price]]*Table1[[#This Row],[Quantity]]*VLOOKUP(C287,Table2[#All],2,FALSE),0)</f>
        <v>180</v>
      </c>
      <c r="P287">
        <f>ROUND(F287*G287,0)</f>
        <v>240</v>
      </c>
      <c r="Q287">
        <f>ROUND((G287*F287)-O287,0)</f>
        <v>60</v>
      </c>
    </row>
    <row r="288" spans="1:17">
      <c r="A288" t="s">
        <v>153</v>
      </c>
      <c r="B288" t="s">
        <v>23</v>
      </c>
      <c r="C288" t="s">
        <v>24</v>
      </c>
      <c r="D288" s="1">
        <v>45347</v>
      </c>
      <c r="E288" s="1">
        <v>45353</v>
      </c>
      <c r="F288">
        <v>4</v>
      </c>
      <c r="G288">
        <v>492</v>
      </c>
      <c r="H288" t="s">
        <v>27</v>
      </c>
      <c r="I288" t="s">
        <v>550</v>
      </c>
      <c r="J288" t="s">
        <v>14</v>
      </c>
      <c r="K288">
        <f>YEAR(D288)</f>
        <v>2024</v>
      </c>
      <c r="L288" t="str">
        <f>TEXT(D288,"mmm")</f>
        <v>Feb</v>
      </c>
      <c r="M288" t="str">
        <f>TEXT(D288,"ddd")</f>
        <v>Sun</v>
      </c>
      <c r="N288">
        <f>DATEDIF(D288, E288, "d")</f>
        <v>6</v>
      </c>
      <c r="O288">
        <f>ROUND(Table1[[#This Row],[Unit Price]]*Table1[[#This Row],[Quantity]]*VLOOKUP(C288,Table2[#All],2,FALSE),0)</f>
        <v>1082</v>
      </c>
      <c r="P288">
        <f>ROUND(F288*G288,0)</f>
        <v>1968</v>
      </c>
      <c r="Q288">
        <f>ROUND((G288*F288)-O288,0)</f>
        <v>886</v>
      </c>
    </row>
    <row r="289" spans="1:17">
      <c r="A289" t="s">
        <v>239</v>
      </c>
      <c r="B289" t="s">
        <v>11</v>
      </c>
      <c r="C289" t="s">
        <v>35</v>
      </c>
      <c r="D289" s="1">
        <v>45592</v>
      </c>
      <c r="E289" s="1">
        <v>45599</v>
      </c>
      <c r="F289">
        <v>4</v>
      </c>
      <c r="G289">
        <v>258</v>
      </c>
      <c r="H289" t="s">
        <v>13</v>
      </c>
      <c r="I289" t="s">
        <v>550</v>
      </c>
      <c r="J289" t="s">
        <v>18</v>
      </c>
      <c r="K289">
        <f>YEAR(D289)</f>
        <v>2024</v>
      </c>
      <c r="L289" t="str">
        <f>TEXT(D289,"mmm")</f>
        <v>Oct</v>
      </c>
      <c r="M289" t="str">
        <f>TEXT(D289,"ddd")</f>
        <v>Sun</v>
      </c>
      <c r="N289">
        <f>DATEDIF(D289, E289, "d")</f>
        <v>7</v>
      </c>
      <c r="O289">
        <f>ROUND(Table1[[#This Row],[Unit Price]]*Table1[[#This Row],[Quantity]]*VLOOKUP(C289,Table2[#All],2,FALSE),0)</f>
        <v>826</v>
      </c>
      <c r="P289">
        <f>ROUND(F289*G289,0)</f>
        <v>1032</v>
      </c>
      <c r="Q289">
        <f>ROUND((G289*F289)-O289,0)</f>
        <v>206</v>
      </c>
    </row>
    <row r="290" spans="1:17">
      <c r="A290" t="s">
        <v>102</v>
      </c>
      <c r="B290" t="s">
        <v>23</v>
      </c>
      <c r="C290" t="s">
        <v>99</v>
      </c>
      <c r="D290" s="1">
        <v>45432</v>
      </c>
      <c r="E290" s="1">
        <v>45443</v>
      </c>
      <c r="F290">
        <v>8</v>
      </c>
      <c r="G290">
        <v>89</v>
      </c>
      <c r="H290" t="s">
        <v>13</v>
      </c>
      <c r="I290" t="s">
        <v>32</v>
      </c>
      <c r="J290" t="s">
        <v>18</v>
      </c>
      <c r="K290">
        <f>YEAR(D290)</f>
        <v>2024</v>
      </c>
      <c r="L290" t="str">
        <f>TEXT(D290,"mmm")</f>
        <v>May</v>
      </c>
      <c r="M290" t="str">
        <f>TEXT(D290,"ddd")</f>
        <v>Mon</v>
      </c>
      <c r="N290">
        <f>DATEDIF(D290, E290, "d")</f>
        <v>11</v>
      </c>
      <c r="O290">
        <f>ROUND(Table1[[#This Row],[Unit Price]]*Table1[[#This Row],[Quantity]]*VLOOKUP(C290,Table2[#All],2,FALSE),0)</f>
        <v>427</v>
      </c>
      <c r="P290">
        <f>ROUND(F290*G290,0)</f>
        <v>712</v>
      </c>
      <c r="Q290">
        <f>ROUND((G290*F290)-O290,0)</f>
        <v>285</v>
      </c>
    </row>
    <row r="291" spans="1:17">
      <c r="A291" t="s">
        <v>102</v>
      </c>
      <c r="B291" t="s">
        <v>23</v>
      </c>
      <c r="C291" t="s">
        <v>37</v>
      </c>
      <c r="D291" s="1">
        <v>45711</v>
      </c>
      <c r="E291" s="1">
        <v>45714</v>
      </c>
      <c r="F291">
        <v>9</v>
      </c>
      <c r="G291">
        <v>10</v>
      </c>
      <c r="H291" t="s">
        <v>13</v>
      </c>
      <c r="I291" t="s">
        <v>550</v>
      </c>
      <c r="J291" t="s">
        <v>45</v>
      </c>
      <c r="K291">
        <f>YEAR(D291)</f>
        <v>2025</v>
      </c>
      <c r="L291" t="str">
        <f>TEXT(D291,"mmm")</f>
        <v>Feb</v>
      </c>
      <c r="M291" t="str">
        <f>TEXT(D291,"ddd")</f>
        <v>Sun</v>
      </c>
      <c r="N291">
        <f>DATEDIF(D291, E291, "d")</f>
        <v>3</v>
      </c>
      <c r="O291">
        <f>ROUND(Table1[[#This Row],[Unit Price]]*Table1[[#This Row],[Quantity]]*VLOOKUP(C291,Table2[#All],2,FALSE),0)</f>
        <v>45</v>
      </c>
      <c r="P291">
        <f>ROUND(F291*G291,0)</f>
        <v>90</v>
      </c>
      <c r="Q291">
        <f>ROUND((G291*F291)-O291,0)</f>
        <v>45</v>
      </c>
    </row>
    <row r="292" spans="1:17">
      <c r="A292" t="s">
        <v>231</v>
      </c>
      <c r="B292" t="s">
        <v>23</v>
      </c>
      <c r="C292" t="s">
        <v>24</v>
      </c>
      <c r="D292" s="1">
        <v>45627</v>
      </c>
      <c r="E292" s="1">
        <v>45630</v>
      </c>
      <c r="F292">
        <v>10</v>
      </c>
      <c r="G292">
        <v>601</v>
      </c>
      <c r="H292" t="s">
        <v>27</v>
      </c>
      <c r="I292" t="s">
        <v>550</v>
      </c>
      <c r="J292" t="s">
        <v>14</v>
      </c>
      <c r="K292">
        <f>YEAR(D292)</f>
        <v>2024</v>
      </c>
      <c r="L292" t="str">
        <f>TEXT(D292,"mmm")</f>
        <v>Dec</v>
      </c>
      <c r="M292" t="str">
        <f>TEXT(D292,"ddd")</f>
        <v>Sun</v>
      </c>
      <c r="N292">
        <f>DATEDIF(D292, E292, "d")</f>
        <v>3</v>
      </c>
      <c r="O292">
        <f>ROUND(Table1[[#This Row],[Unit Price]]*Table1[[#This Row],[Quantity]]*VLOOKUP(C292,Table2[#All],2,FALSE),0)</f>
        <v>3306</v>
      </c>
      <c r="P292">
        <f>ROUND(F292*G292,0)</f>
        <v>6010</v>
      </c>
      <c r="Q292">
        <f>ROUND((G292*F292)-O292,0)</f>
        <v>2704</v>
      </c>
    </row>
    <row r="293" spans="1:17">
      <c r="A293" t="s">
        <v>167</v>
      </c>
      <c r="B293" t="s">
        <v>30</v>
      </c>
      <c r="C293" t="s">
        <v>78</v>
      </c>
      <c r="D293" s="1">
        <v>45370</v>
      </c>
      <c r="E293" s="1">
        <v>45374</v>
      </c>
      <c r="F293">
        <v>8</v>
      </c>
      <c r="G293">
        <v>78</v>
      </c>
      <c r="H293" t="s">
        <v>13</v>
      </c>
      <c r="I293" t="s">
        <v>550</v>
      </c>
      <c r="J293" t="s">
        <v>18</v>
      </c>
      <c r="K293">
        <f>YEAR(D293)</f>
        <v>2024</v>
      </c>
      <c r="L293" t="str">
        <f>TEXT(D293,"mmm")</f>
        <v>Mar</v>
      </c>
      <c r="M293" t="str">
        <f>TEXT(D293,"ddd")</f>
        <v>Tue</v>
      </c>
      <c r="N293">
        <f>DATEDIF(D293, E293, "d")</f>
        <v>4</v>
      </c>
      <c r="O293">
        <f>ROUND(Table1[[#This Row],[Unit Price]]*Table1[[#This Row],[Quantity]]*VLOOKUP(C293,Table2[#All],2,FALSE),0)</f>
        <v>406</v>
      </c>
      <c r="P293">
        <f>ROUND(F293*G293,0)</f>
        <v>624</v>
      </c>
      <c r="Q293">
        <f>ROUND((G293*F293)-O293,0)</f>
        <v>218</v>
      </c>
    </row>
    <row r="294" spans="1:17">
      <c r="A294" t="s">
        <v>399</v>
      </c>
      <c r="B294" t="s">
        <v>11</v>
      </c>
      <c r="C294" t="s">
        <v>57</v>
      </c>
      <c r="D294" s="1">
        <v>45947</v>
      </c>
      <c r="E294" s="1">
        <v>45952</v>
      </c>
      <c r="F294">
        <v>5</v>
      </c>
      <c r="G294">
        <v>803</v>
      </c>
      <c r="H294" t="s">
        <v>13</v>
      </c>
      <c r="I294" t="s">
        <v>32</v>
      </c>
      <c r="J294" t="s">
        <v>18</v>
      </c>
      <c r="K294">
        <f>YEAR(D294)</f>
        <v>2025</v>
      </c>
      <c r="L294" t="str">
        <f>TEXT(D294,"mmm")</f>
        <v>Oct</v>
      </c>
      <c r="M294" t="str">
        <f>TEXT(D294,"ddd")</f>
        <v>Fri</v>
      </c>
      <c r="N294">
        <f>DATEDIF(D294, E294, "d")</f>
        <v>5</v>
      </c>
      <c r="O294">
        <f>ROUND(Table1[[#This Row],[Unit Price]]*Table1[[#This Row],[Quantity]]*VLOOKUP(C294,Table2[#All],2,FALSE),0)</f>
        <v>3413</v>
      </c>
      <c r="P294">
        <f>ROUND(F294*G294,0)</f>
        <v>4015</v>
      </c>
      <c r="Q294">
        <f>ROUND((G294*F294)-O294,0)</f>
        <v>602</v>
      </c>
    </row>
    <row r="295" spans="1:17">
      <c r="A295" t="s">
        <v>195</v>
      </c>
      <c r="B295" t="s">
        <v>16</v>
      </c>
      <c r="C295" t="s">
        <v>59</v>
      </c>
      <c r="D295" s="1">
        <v>45311</v>
      </c>
      <c r="E295" s="1">
        <v>45316</v>
      </c>
      <c r="F295">
        <v>6</v>
      </c>
      <c r="G295">
        <v>907</v>
      </c>
      <c r="H295" t="s">
        <v>13</v>
      </c>
      <c r="I295" t="s">
        <v>548</v>
      </c>
      <c r="J295" t="s">
        <v>14</v>
      </c>
      <c r="K295">
        <f>YEAR(D295)</f>
        <v>2024</v>
      </c>
      <c r="L295" t="str">
        <f>TEXT(D295,"mmm")</f>
        <v>Jan</v>
      </c>
      <c r="M295" t="str">
        <f>TEXT(D295,"ddd")</f>
        <v>Sat</v>
      </c>
      <c r="N295">
        <f>DATEDIF(D295, E295, "d")</f>
        <v>5</v>
      </c>
      <c r="O295">
        <f>ROUND(Table1[[#This Row],[Unit Price]]*Table1[[#This Row],[Quantity]]*VLOOKUP(C295,Table2[#All],2,FALSE),0)</f>
        <v>3537</v>
      </c>
      <c r="P295">
        <f>ROUND(F295*G295,0)</f>
        <v>5442</v>
      </c>
      <c r="Q295">
        <f>ROUND((G295*F295)-O295,0)</f>
        <v>1905</v>
      </c>
    </row>
    <row r="296" spans="1:17">
      <c r="A296" t="s">
        <v>137</v>
      </c>
      <c r="B296" t="s">
        <v>30</v>
      </c>
      <c r="C296" t="s">
        <v>31</v>
      </c>
      <c r="D296" s="1">
        <v>45359</v>
      </c>
      <c r="E296" s="1">
        <v>45373</v>
      </c>
      <c r="F296">
        <v>5</v>
      </c>
      <c r="G296">
        <v>458</v>
      </c>
      <c r="H296" t="s">
        <v>13</v>
      </c>
      <c r="I296" t="s">
        <v>32</v>
      </c>
      <c r="J296" t="s">
        <v>14</v>
      </c>
      <c r="K296">
        <f>YEAR(D296)</f>
        <v>2024</v>
      </c>
      <c r="L296" t="str">
        <f>TEXT(D296,"mmm")</f>
        <v>Mar</v>
      </c>
      <c r="M296" t="str">
        <f>TEXT(D296,"ddd")</f>
        <v>Fri</v>
      </c>
      <c r="N296">
        <f>DATEDIF(D296, E296, "d")</f>
        <v>14</v>
      </c>
      <c r="O296">
        <f>ROUND(Table1[[#This Row],[Unit Price]]*Table1[[#This Row],[Quantity]]*VLOOKUP(C296,Table2[#All],2,FALSE),0)</f>
        <v>1718</v>
      </c>
      <c r="P296">
        <f>ROUND(F296*G296,0)</f>
        <v>2290</v>
      </c>
      <c r="Q296">
        <f>ROUND((G296*F296)-O296,0)</f>
        <v>572</v>
      </c>
    </row>
    <row r="297" spans="1:17">
      <c r="A297" t="s">
        <v>433</v>
      </c>
      <c r="B297" t="s">
        <v>16</v>
      </c>
      <c r="C297" t="s">
        <v>17</v>
      </c>
      <c r="D297" s="1">
        <v>45679</v>
      </c>
      <c r="E297" s="1">
        <v>45686</v>
      </c>
      <c r="F297">
        <v>6</v>
      </c>
      <c r="G297">
        <v>563</v>
      </c>
      <c r="H297" t="s">
        <v>13</v>
      </c>
      <c r="I297" t="s">
        <v>550</v>
      </c>
      <c r="J297" t="s">
        <v>45</v>
      </c>
      <c r="K297">
        <f>YEAR(D297)</f>
        <v>2025</v>
      </c>
      <c r="L297" t="str">
        <f>TEXT(D297,"mmm")</f>
        <v>Jan</v>
      </c>
      <c r="M297" t="str">
        <f>TEXT(D297,"ddd")</f>
        <v>Wed</v>
      </c>
      <c r="N297">
        <f>DATEDIF(D297, E297, "d")</f>
        <v>7</v>
      </c>
      <c r="O297">
        <f>ROUND(Table1[[#This Row],[Unit Price]]*Table1[[#This Row],[Quantity]]*VLOOKUP(C297,Table2[#All],2,FALSE),0)</f>
        <v>1689</v>
      </c>
      <c r="P297">
        <f>ROUND(F297*G297,0)</f>
        <v>3378</v>
      </c>
      <c r="Q297">
        <f>ROUND((G297*F297)-O297,0)</f>
        <v>1689</v>
      </c>
    </row>
    <row r="298" spans="1:17">
      <c r="A298" t="s">
        <v>513</v>
      </c>
      <c r="B298" t="s">
        <v>11</v>
      </c>
      <c r="C298" t="s">
        <v>26</v>
      </c>
      <c r="D298" s="1">
        <v>45680</v>
      </c>
      <c r="E298" s="1">
        <v>45689</v>
      </c>
      <c r="F298">
        <v>9</v>
      </c>
      <c r="G298">
        <v>498</v>
      </c>
      <c r="H298" t="s">
        <v>13</v>
      </c>
      <c r="I298" t="s">
        <v>550</v>
      </c>
      <c r="J298" t="s">
        <v>45</v>
      </c>
      <c r="K298">
        <f>YEAR(D298)</f>
        <v>2025</v>
      </c>
      <c r="L298" t="str">
        <f>TEXT(D298,"mmm")</f>
        <v>Jan</v>
      </c>
      <c r="M298" t="str">
        <f>TEXT(D298,"ddd")</f>
        <v>Thu</v>
      </c>
      <c r="N298">
        <f>DATEDIF(D298, E298, "d")</f>
        <v>9</v>
      </c>
      <c r="O298">
        <f>ROUND(Table1[[#This Row],[Unit Price]]*Table1[[#This Row],[Quantity]]*VLOOKUP(C298,Table2[#All],2,FALSE),0)</f>
        <v>2913</v>
      </c>
      <c r="P298">
        <f>ROUND(F298*G298,0)</f>
        <v>4482</v>
      </c>
      <c r="Q298">
        <f>ROUND((G298*F298)-O298,0)</f>
        <v>1569</v>
      </c>
    </row>
    <row r="299" spans="1:17">
      <c r="A299" t="s">
        <v>236</v>
      </c>
      <c r="B299" t="s">
        <v>23</v>
      </c>
      <c r="C299" t="s">
        <v>24</v>
      </c>
      <c r="D299" s="1">
        <v>45578</v>
      </c>
      <c r="E299" s="1">
        <v>45586</v>
      </c>
      <c r="F299">
        <v>5</v>
      </c>
      <c r="G299">
        <v>304</v>
      </c>
      <c r="H299" t="s">
        <v>27</v>
      </c>
      <c r="I299" t="s">
        <v>550</v>
      </c>
      <c r="J299" t="s">
        <v>45</v>
      </c>
      <c r="K299">
        <f>YEAR(D299)</f>
        <v>2024</v>
      </c>
      <c r="L299" t="str">
        <f>TEXT(D299,"mmm")</f>
        <v>Oct</v>
      </c>
      <c r="M299" t="str">
        <f>TEXT(D299,"ddd")</f>
        <v>Sun</v>
      </c>
      <c r="N299">
        <f>DATEDIF(D299, E299, "d")</f>
        <v>8</v>
      </c>
      <c r="O299">
        <f>ROUND(Table1[[#This Row],[Unit Price]]*Table1[[#This Row],[Quantity]]*VLOOKUP(C299,Table2[#All],2,FALSE),0)</f>
        <v>836</v>
      </c>
      <c r="P299">
        <f>ROUND(F299*G299,0)</f>
        <v>1520</v>
      </c>
      <c r="Q299">
        <f>ROUND((G299*F299)-O299,0)</f>
        <v>684</v>
      </c>
    </row>
    <row r="300" spans="1:17">
      <c r="A300" t="s">
        <v>138</v>
      </c>
      <c r="B300" t="s">
        <v>11</v>
      </c>
      <c r="C300" t="s">
        <v>35</v>
      </c>
      <c r="D300" s="1">
        <v>45414</v>
      </c>
      <c r="E300" s="1">
        <v>45425</v>
      </c>
      <c r="F300">
        <v>3</v>
      </c>
      <c r="G300">
        <v>328</v>
      </c>
      <c r="H300" t="s">
        <v>27</v>
      </c>
      <c r="I300" t="s">
        <v>32</v>
      </c>
      <c r="J300" t="s">
        <v>14</v>
      </c>
      <c r="K300">
        <f>YEAR(D300)</f>
        <v>2024</v>
      </c>
      <c r="L300" t="str">
        <f>TEXT(D300,"mmm")</f>
        <v>May</v>
      </c>
      <c r="M300" t="str">
        <f>TEXT(D300,"ddd")</f>
        <v>Thu</v>
      </c>
      <c r="N300">
        <f>DATEDIF(D300, E300, "d")</f>
        <v>11</v>
      </c>
      <c r="O300">
        <f>ROUND(Table1[[#This Row],[Unit Price]]*Table1[[#This Row],[Quantity]]*VLOOKUP(C300,Table2[#All],2,FALSE),0)</f>
        <v>787</v>
      </c>
      <c r="P300">
        <f>ROUND(F300*G300,0)</f>
        <v>984</v>
      </c>
      <c r="Q300">
        <f>ROUND((G300*F300)-O300,0)</f>
        <v>197</v>
      </c>
    </row>
    <row r="301" spans="1:17">
      <c r="A301" t="s">
        <v>240</v>
      </c>
      <c r="B301" t="s">
        <v>20</v>
      </c>
      <c r="C301" t="s">
        <v>39</v>
      </c>
      <c r="D301" s="1">
        <v>45343</v>
      </c>
      <c r="E301" s="1">
        <v>45357</v>
      </c>
      <c r="F301">
        <v>7</v>
      </c>
      <c r="G301">
        <v>348</v>
      </c>
      <c r="H301" t="s">
        <v>13</v>
      </c>
      <c r="I301" t="s">
        <v>32</v>
      </c>
      <c r="J301" t="s">
        <v>18</v>
      </c>
      <c r="K301">
        <f>YEAR(D301)</f>
        <v>2024</v>
      </c>
      <c r="L301" t="str">
        <f>TEXT(D301,"mmm")</f>
        <v>Feb</v>
      </c>
      <c r="M301" t="str">
        <f>TEXT(D301,"ddd")</f>
        <v>Wed</v>
      </c>
      <c r="N301">
        <f>DATEDIF(D301, E301, "d")</f>
        <v>14</v>
      </c>
      <c r="O301">
        <f>ROUND(Table1[[#This Row],[Unit Price]]*Table1[[#This Row],[Quantity]]*VLOOKUP(C301,Table2[#All],2,FALSE),0)</f>
        <v>1583</v>
      </c>
      <c r="P301">
        <f>ROUND(F301*G301,0)</f>
        <v>2436</v>
      </c>
      <c r="Q301">
        <f>ROUND((G301*F301)-O301,0)</f>
        <v>853</v>
      </c>
    </row>
    <row r="302" spans="1:17">
      <c r="A302" t="s">
        <v>464</v>
      </c>
      <c r="B302" t="s">
        <v>30</v>
      </c>
      <c r="C302" t="s">
        <v>75</v>
      </c>
      <c r="D302" s="1">
        <v>45972</v>
      </c>
      <c r="E302" s="1">
        <v>45977</v>
      </c>
      <c r="F302">
        <v>6</v>
      </c>
      <c r="G302">
        <v>461</v>
      </c>
      <c r="H302" t="s">
        <v>13</v>
      </c>
      <c r="I302" t="s">
        <v>549</v>
      </c>
      <c r="J302" t="s">
        <v>14</v>
      </c>
      <c r="K302">
        <f>YEAR(D302)</f>
        <v>2025</v>
      </c>
      <c r="L302" t="str">
        <f>TEXT(D302,"mmm")</f>
        <v>Nov</v>
      </c>
      <c r="M302" t="str">
        <f>TEXT(D302,"ddd")</f>
        <v>Tue</v>
      </c>
      <c r="N302">
        <f>DATEDIF(D302, E302, "d")</f>
        <v>5</v>
      </c>
      <c r="O302">
        <f>ROUND(Table1[[#This Row],[Unit Price]]*Table1[[#This Row],[Quantity]]*VLOOKUP(C302,Table2[#All],2,FALSE),0)</f>
        <v>2075</v>
      </c>
      <c r="P302">
        <f>ROUND(F302*G302,0)</f>
        <v>2766</v>
      </c>
      <c r="Q302">
        <f>ROUND((G302*F302)-O302,0)</f>
        <v>691</v>
      </c>
    </row>
    <row r="303" spans="1:17">
      <c r="A303" t="s">
        <v>200</v>
      </c>
      <c r="B303" t="s">
        <v>20</v>
      </c>
      <c r="C303" t="s">
        <v>39</v>
      </c>
      <c r="D303" s="1">
        <v>45438</v>
      </c>
      <c r="E303" s="1">
        <v>45452</v>
      </c>
      <c r="F303">
        <v>8</v>
      </c>
      <c r="G303">
        <v>722</v>
      </c>
      <c r="H303" t="s">
        <v>27</v>
      </c>
      <c r="I303" t="s">
        <v>548</v>
      </c>
      <c r="J303" t="s">
        <v>28</v>
      </c>
      <c r="K303">
        <f>YEAR(D303)</f>
        <v>2024</v>
      </c>
      <c r="L303" t="str">
        <f>TEXT(D303,"mmm")</f>
        <v>May</v>
      </c>
      <c r="M303" t="str">
        <f>TEXT(D303,"ddd")</f>
        <v>Sun</v>
      </c>
      <c r="N303">
        <f>DATEDIF(D303, E303, "d")</f>
        <v>14</v>
      </c>
      <c r="O303">
        <f>ROUND(Table1[[#This Row],[Unit Price]]*Table1[[#This Row],[Quantity]]*VLOOKUP(C303,Table2[#All],2,FALSE),0)</f>
        <v>3754</v>
      </c>
      <c r="P303">
        <f>ROUND(F303*G303,0)</f>
        <v>5776</v>
      </c>
      <c r="Q303">
        <f>ROUND((G303*F303)-O303,0)</f>
        <v>2022</v>
      </c>
    </row>
    <row r="304" spans="1:17">
      <c r="A304" t="s">
        <v>97</v>
      </c>
      <c r="B304" t="s">
        <v>23</v>
      </c>
      <c r="C304" t="s">
        <v>37</v>
      </c>
      <c r="D304" s="1">
        <v>45496</v>
      </c>
      <c r="E304" s="1">
        <v>45502</v>
      </c>
      <c r="F304">
        <v>4</v>
      </c>
      <c r="G304">
        <v>161</v>
      </c>
      <c r="H304" t="s">
        <v>13</v>
      </c>
      <c r="I304" t="s">
        <v>32</v>
      </c>
      <c r="J304" t="s">
        <v>45</v>
      </c>
      <c r="K304">
        <f>YEAR(D304)</f>
        <v>2024</v>
      </c>
      <c r="L304" t="str">
        <f>TEXT(D304,"mmm")</f>
        <v>Jul</v>
      </c>
      <c r="M304" t="str">
        <f>TEXT(D304,"ddd")</f>
        <v>Tue</v>
      </c>
      <c r="N304">
        <f>DATEDIF(D304, E304, "d")</f>
        <v>6</v>
      </c>
      <c r="O304">
        <f>ROUND(Table1[[#This Row],[Unit Price]]*Table1[[#This Row],[Quantity]]*VLOOKUP(C304,Table2[#All],2,FALSE),0)</f>
        <v>322</v>
      </c>
      <c r="P304">
        <f>ROUND(F304*G304,0)</f>
        <v>644</v>
      </c>
      <c r="Q304">
        <f>ROUND((G304*F304)-O304,0)</f>
        <v>322</v>
      </c>
    </row>
    <row r="305" spans="1:17">
      <c r="A305" t="s">
        <v>97</v>
      </c>
      <c r="B305" t="s">
        <v>16</v>
      </c>
      <c r="C305" t="s">
        <v>55</v>
      </c>
      <c r="D305" s="1">
        <v>45904</v>
      </c>
      <c r="E305" s="1">
        <v>45910</v>
      </c>
      <c r="F305">
        <v>7</v>
      </c>
      <c r="G305">
        <v>238</v>
      </c>
      <c r="H305" t="s">
        <v>13</v>
      </c>
      <c r="I305" t="s">
        <v>549</v>
      </c>
      <c r="J305" t="s">
        <v>14</v>
      </c>
      <c r="K305">
        <f>YEAR(D305)</f>
        <v>2025</v>
      </c>
      <c r="L305" t="str">
        <f>TEXT(D305,"mmm")</f>
        <v>Sep</v>
      </c>
      <c r="M305" t="str">
        <f>TEXT(D305,"ddd")</f>
        <v>Thu</v>
      </c>
      <c r="N305">
        <f>DATEDIF(D305, E305, "d")</f>
        <v>6</v>
      </c>
      <c r="O305">
        <f>ROUND(Table1[[#This Row],[Unit Price]]*Table1[[#This Row],[Quantity]]*VLOOKUP(C305,Table2[#All],2,FALSE),0)</f>
        <v>916</v>
      </c>
      <c r="P305">
        <f>ROUND(F305*G305,0)</f>
        <v>1666</v>
      </c>
      <c r="Q305">
        <f>ROUND((G305*F305)-O305,0)</f>
        <v>750</v>
      </c>
    </row>
    <row r="306" spans="1:17">
      <c r="A306" t="s">
        <v>476</v>
      </c>
      <c r="B306" t="s">
        <v>20</v>
      </c>
      <c r="C306" t="s">
        <v>21</v>
      </c>
      <c r="D306" s="1">
        <v>45684</v>
      </c>
      <c r="E306" s="1">
        <v>45686</v>
      </c>
      <c r="F306">
        <v>8</v>
      </c>
      <c r="G306">
        <v>684</v>
      </c>
      <c r="H306" t="s">
        <v>13</v>
      </c>
      <c r="I306" t="s">
        <v>548</v>
      </c>
      <c r="J306" t="s">
        <v>28</v>
      </c>
      <c r="K306">
        <f>YEAR(D306)</f>
        <v>2025</v>
      </c>
      <c r="L306" t="str">
        <f>TEXT(D306,"mmm")</f>
        <v>Jan</v>
      </c>
      <c r="M306" t="str">
        <f>TEXT(D306,"ddd")</f>
        <v>Mon</v>
      </c>
      <c r="N306">
        <f>DATEDIF(D306, E306, "d")</f>
        <v>2</v>
      </c>
      <c r="O306">
        <f>ROUND(Table1[[#This Row],[Unit Price]]*Table1[[#This Row],[Quantity]]*VLOOKUP(C306,Table2[#All],2,FALSE),0)</f>
        <v>4104</v>
      </c>
      <c r="P306">
        <f>ROUND(F306*G306,0)</f>
        <v>5472</v>
      </c>
      <c r="Q306">
        <f>ROUND((G306*F306)-O306,0)</f>
        <v>1368</v>
      </c>
    </row>
    <row r="307" spans="1:17">
      <c r="A307" t="s">
        <v>65</v>
      </c>
      <c r="B307" t="s">
        <v>23</v>
      </c>
      <c r="C307" t="s">
        <v>37</v>
      </c>
      <c r="D307" s="1">
        <v>45531</v>
      </c>
      <c r="E307" s="1">
        <v>45534</v>
      </c>
      <c r="F307">
        <v>1</v>
      </c>
      <c r="G307">
        <v>200</v>
      </c>
      <c r="H307" t="s">
        <v>13</v>
      </c>
      <c r="I307" t="s">
        <v>32</v>
      </c>
      <c r="J307" t="s">
        <v>45</v>
      </c>
      <c r="K307">
        <f>YEAR(D307)</f>
        <v>2024</v>
      </c>
      <c r="L307" t="str">
        <f>TEXT(D307,"mmm")</f>
        <v>Aug</v>
      </c>
      <c r="M307" t="str">
        <f>TEXT(D307,"ddd")</f>
        <v>Tue</v>
      </c>
      <c r="N307">
        <f>DATEDIF(D307, E307, "d")</f>
        <v>3</v>
      </c>
      <c r="O307">
        <f>ROUND(Table1[[#This Row],[Unit Price]]*Table1[[#This Row],[Quantity]]*VLOOKUP(C307,Table2[#All],2,FALSE),0)</f>
        <v>100</v>
      </c>
      <c r="P307">
        <f>ROUND(F307*G307,0)</f>
        <v>200</v>
      </c>
      <c r="Q307">
        <f>ROUND((G307*F307)-O307,0)</f>
        <v>100</v>
      </c>
    </row>
    <row r="308" spans="1:17">
      <c r="A308" t="s">
        <v>65</v>
      </c>
      <c r="B308" t="s">
        <v>11</v>
      </c>
      <c r="C308" t="s">
        <v>12</v>
      </c>
      <c r="D308" s="1">
        <v>45931</v>
      </c>
      <c r="E308" s="1">
        <v>45933</v>
      </c>
      <c r="F308">
        <v>7</v>
      </c>
      <c r="G308">
        <v>149</v>
      </c>
      <c r="H308" t="s">
        <v>27</v>
      </c>
      <c r="I308" t="s">
        <v>550</v>
      </c>
      <c r="J308" t="s">
        <v>28</v>
      </c>
      <c r="K308">
        <f>YEAR(D308)</f>
        <v>2025</v>
      </c>
      <c r="L308" t="str">
        <f>TEXT(D308,"mmm")</f>
        <v>Oct</v>
      </c>
      <c r="M308" t="str">
        <f>TEXT(D308,"ddd")</f>
        <v>Wed</v>
      </c>
      <c r="N308">
        <f>DATEDIF(D308, E308, "d")</f>
        <v>2</v>
      </c>
      <c r="O308">
        <f>ROUND(Table1[[#This Row],[Unit Price]]*Table1[[#This Row],[Quantity]]*VLOOKUP(C308,Table2[#All],2,FALSE),0)</f>
        <v>782</v>
      </c>
      <c r="P308">
        <f>ROUND(F308*G308,0)</f>
        <v>1043</v>
      </c>
      <c r="Q308">
        <f>ROUND((G308*F308)-O308,0)</f>
        <v>261</v>
      </c>
    </row>
    <row r="309" spans="1:17">
      <c r="A309" t="s">
        <v>106</v>
      </c>
      <c r="B309" t="s">
        <v>11</v>
      </c>
      <c r="C309" t="s">
        <v>26</v>
      </c>
      <c r="D309" s="1">
        <v>45301</v>
      </c>
      <c r="E309" s="1">
        <v>45305</v>
      </c>
      <c r="F309">
        <v>9</v>
      </c>
      <c r="G309">
        <v>63</v>
      </c>
      <c r="H309" t="s">
        <v>27</v>
      </c>
      <c r="I309" t="s">
        <v>546</v>
      </c>
      <c r="J309" t="s">
        <v>14</v>
      </c>
      <c r="K309">
        <f>YEAR(D309)</f>
        <v>2024</v>
      </c>
      <c r="L309" t="str">
        <f>TEXT(D309,"mmm")</f>
        <v>Jan</v>
      </c>
      <c r="M309" t="str">
        <f>TEXT(D309,"ddd")</f>
        <v>Wed</v>
      </c>
      <c r="N309">
        <f>DATEDIF(D309, E309, "d")</f>
        <v>4</v>
      </c>
      <c r="O309">
        <f>ROUND(Table1[[#This Row],[Unit Price]]*Table1[[#This Row],[Quantity]]*VLOOKUP(C309,Table2[#All],2,FALSE),0)</f>
        <v>369</v>
      </c>
      <c r="P309">
        <f>ROUND(F309*G309,0)</f>
        <v>567</v>
      </c>
      <c r="Q309">
        <f>ROUND((G309*F309)-O309,0)</f>
        <v>198</v>
      </c>
    </row>
    <row r="310" spans="1:17">
      <c r="A310" t="s">
        <v>106</v>
      </c>
      <c r="B310" t="s">
        <v>30</v>
      </c>
      <c r="C310" t="s">
        <v>41</v>
      </c>
      <c r="D310" s="1">
        <v>45857</v>
      </c>
      <c r="E310" s="1">
        <v>45863</v>
      </c>
      <c r="F310">
        <v>4</v>
      </c>
      <c r="G310">
        <v>82</v>
      </c>
      <c r="H310" t="s">
        <v>27</v>
      </c>
      <c r="I310" t="s">
        <v>549</v>
      </c>
      <c r="J310" t="s">
        <v>14</v>
      </c>
      <c r="K310">
        <f>YEAR(D310)</f>
        <v>2025</v>
      </c>
      <c r="L310" t="str">
        <f>TEXT(D310,"mmm")</f>
        <v>Jul</v>
      </c>
      <c r="M310" t="str">
        <f>TEXT(D310,"ddd")</f>
        <v>Sat</v>
      </c>
      <c r="N310">
        <f>DATEDIF(D310, E310, "d")</f>
        <v>6</v>
      </c>
      <c r="O310">
        <f>ROUND(Table1[[#This Row],[Unit Price]]*Table1[[#This Row],[Quantity]]*VLOOKUP(C310,Table2[#All],2,FALSE),0)</f>
        <v>213</v>
      </c>
      <c r="P310">
        <f>ROUND(F310*G310,0)</f>
        <v>328</v>
      </c>
      <c r="Q310">
        <f>ROUND((G310*F310)-O310,0)</f>
        <v>115</v>
      </c>
    </row>
    <row r="311" spans="1:17">
      <c r="A311" t="s">
        <v>106</v>
      </c>
      <c r="B311" t="s">
        <v>20</v>
      </c>
      <c r="C311" t="s">
        <v>21</v>
      </c>
      <c r="D311" s="1">
        <v>45787</v>
      </c>
      <c r="E311" s="1">
        <v>45794</v>
      </c>
      <c r="F311">
        <v>8</v>
      </c>
      <c r="G311">
        <v>281</v>
      </c>
      <c r="H311" t="s">
        <v>13</v>
      </c>
      <c r="I311" t="s">
        <v>32</v>
      </c>
      <c r="J311" t="s">
        <v>28</v>
      </c>
      <c r="K311">
        <f>YEAR(D311)</f>
        <v>2025</v>
      </c>
      <c r="L311" t="str">
        <f>TEXT(D311,"mmm")</f>
        <v>May</v>
      </c>
      <c r="M311" t="str">
        <f>TEXT(D311,"ddd")</f>
        <v>Sat</v>
      </c>
      <c r="N311">
        <f>DATEDIF(D311, E311, "d")</f>
        <v>7</v>
      </c>
      <c r="O311">
        <f>ROUND(Table1[[#This Row],[Unit Price]]*Table1[[#This Row],[Quantity]]*VLOOKUP(C311,Table2[#All],2,FALSE),0)</f>
        <v>1686</v>
      </c>
      <c r="P311">
        <f>ROUND(F311*G311,0)</f>
        <v>2248</v>
      </c>
      <c r="Q311">
        <f>ROUND((G311*F311)-O311,0)</f>
        <v>562</v>
      </c>
    </row>
    <row r="312" spans="1:17">
      <c r="A312" t="s">
        <v>505</v>
      </c>
      <c r="B312" t="s">
        <v>16</v>
      </c>
      <c r="C312" t="s">
        <v>17</v>
      </c>
      <c r="D312" s="1">
        <v>45925</v>
      </c>
      <c r="E312" s="1">
        <v>45930</v>
      </c>
      <c r="F312">
        <v>8</v>
      </c>
      <c r="G312">
        <v>203</v>
      </c>
      <c r="H312" t="s">
        <v>13</v>
      </c>
      <c r="I312" t="s">
        <v>546</v>
      </c>
      <c r="J312" t="s">
        <v>18</v>
      </c>
      <c r="K312">
        <f>YEAR(D312)</f>
        <v>2025</v>
      </c>
      <c r="L312" t="str">
        <f>TEXT(D312,"mmm")</f>
        <v>Sep</v>
      </c>
      <c r="M312" t="str">
        <f>TEXT(D312,"ddd")</f>
        <v>Thu</v>
      </c>
      <c r="N312">
        <f>DATEDIF(D312, E312, "d")</f>
        <v>5</v>
      </c>
      <c r="O312">
        <f>ROUND(Table1[[#This Row],[Unit Price]]*Table1[[#This Row],[Quantity]]*VLOOKUP(C312,Table2[#All],2,FALSE),0)</f>
        <v>812</v>
      </c>
      <c r="P312">
        <f>ROUND(F312*G312,0)</f>
        <v>1624</v>
      </c>
      <c r="Q312">
        <f>ROUND((G312*F312)-O312,0)</f>
        <v>812</v>
      </c>
    </row>
    <row r="313" spans="1:17">
      <c r="A313" t="s">
        <v>311</v>
      </c>
      <c r="B313" t="s">
        <v>23</v>
      </c>
      <c r="C313" t="s">
        <v>99</v>
      </c>
      <c r="D313" s="1">
        <v>45607</v>
      </c>
      <c r="E313" s="1">
        <v>45620</v>
      </c>
      <c r="F313">
        <v>3</v>
      </c>
      <c r="G313">
        <v>813</v>
      </c>
      <c r="H313" t="s">
        <v>13</v>
      </c>
      <c r="I313" t="s">
        <v>547</v>
      </c>
      <c r="J313" t="s">
        <v>14</v>
      </c>
      <c r="K313">
        <f>YEAR(D313)</f>
        <v>2024</v>
      </c>
      <c r="L313" t="str">
        <f>TEXT(D313,"mmm")</f>
        <v>Nov</v>
      </c>
      <c r="M313" t="str">
        <f>TEXT(D313,"ddd")</f>
        <v>Mon</v>
      </c>
      <c r="N313">
        <f>DATEDIF(D313, E313, "d")</f>
        <v>13</v>
      </c>
      <c r="O313">
        <f>ROUND(Table1[[#This Row],[Unit Price]]*Table1[[#This Row],[Quantity]]*VLOOKUP(C313,Table2[#All],2,FALSE),0)</f>
        <v>1463</v>
      </c>
      <c r="P313">
        <f>ROUND(F313*G313,0)</f>
        <v>2439</v>
      </c>
      <c r="Q313">
        <f>ROUND((G313*F313)-O313,0)</f>
        <v>976</v>
      </c>
    </row>
    <row r="314" spans="1:17">
      <c r="A314" t="s">
        <v>331</v>
      </c>
      <c r="B314" t="s">
        <v>30</v>
      </c>
      <c r="C314" t="s">
        <v>49</v>
      </c>
      <c r="D314" s="1">
        <v>45592</v>
      </c>
      <c r="E314" s="1">
        <v>45606</v>
      </c>
      <c r="F314">
        <v>2</v>
      </c>
      <c r="G314">
        <v>327</v>
      </c>
      <c r="H314" t="s">
        <v>27</v>
      </c>
      <c r="I314" t="s">
        <v>551</v>
      </c>
      <c r="J314" t="s">
        <v>28</v>
      </c>
      <c r="K314">
        <f>YEAR(D314)</f>
        <v>2024</v>
      </c>
      <c r="L314" t="str">
        <f>TEXT(D314,"mmm")</f>
        <v>Oct</v>
      </c>
      <c r="M314" t="str">
        <f>TEXT(D314,"ddd")</f>
        <v>Sun</v>
      </c>
      <c r="N314">
        <f>DATEDIF(D314, E314, "d")</f>
        <v>14</v>
      </c>
      <c r="O314">
        <f>ROUND(Table1[[#This Row],[Unit Price]]*Table1[[#This Row],[Quantity]]*VLOOKUP(C314,Table2[#All],2,FALSE),0)</f>
        <v>458</v>
      </c>
      <c r="P314">
        <f>ROUND(F314*G314,0)</f>
        <v>654</v>
      </c>
      <c r="Q314">
        <f>ROUND((G314*F314)-O314,0)</f>
        <v>196</v>
      </c>
    </row>
    <row r="315" spans="1:17">
      <c r="A315" t="s">
        <v>544</v>
      </c>
      <c r="B315" t="s">
        <v>30</v>
      </c>
      <c r="C315" t="s">
        <v>49</v>
      </c>
      <c r="D315" s="1">
        <v>45713</v>
      </c>
      <c r="E315" s="1">
        <v>45717</v>
      </c>
      <c r="F315">
        <v>3</v>
      </c>
      <c r="G315">
        <v>380</v>
      </c>
      <c r="H315" t="s">
        <v>13</v>
      </c>
      <c r="I315" t="s">
        <v>548</v>
      </c>
      <c r="J315" t="s">
        <v>45</v>
      </c>
      <c r="K315">
        <f>YEAR(D315)</f>
        <v>2025</v>
      </c>
      <c r="L315" t="str">
        <f>TEXT(D315,"mmm")</f>
        <v>Feb</v>
      </c>
      <c r="M315" t="str">
        <f>TEXT(D315,"ddd")</f>
        <v>Tue</v>
      </c>
      <c r="N315">
        <f>DATEDIF(D315, E315, "d")</f>
        <v>4</v>
      </c>
      <c r="O315">
        <f>ROUND(Table1[[#This Row],[Unit Price]]*Table1[[#This Row],[Quantity]]*VLOOKUP(C315,Table2[#All],2,FALSE),0)</f>
        <v>798</v>
      </c>
      <c r="P315">
        <f>ROUND(F315*G315,0)</f>
        <v>1140</v>
      </c>
      <c r="Q315">
        <f>ROUND((G315*F315)-O315,0)</f>
        <v>342</v>
      </c>
    </row>
    <row r="316" spans="1:17">
      <c r="A316" t="s">
        <v>379</v>
      </c>
      <c r="B316" t="s">
        <v>20</v>
      </c>
      <c r="C316" t="s">
        <v>82</v>
      </c>
      <c r="D316" s="1">
        <v>45945</v>
      </c>
      <c r="E316" s="1">
        <v>45949</v>
      </c>
      <c r="F316">
        <v>9</v>
      </c>
      <c r="G316">
        <v>754</v>
      </c>
      <c r="H316" t="s">
        <v>13</v>
      </c>
      <c r="I316" t="s">
        <v>549</v>
      </c>
      <c r="J316" t="s">
        <v>28</v>
      </c>
      <c r="K316">
        <f>YEAR(D316)</f>
        <v>2025</v>
      </c>
      <c r="L316" t="str">
        <f>TEXT(D316,"mmm")</f>
        <v>Oct</v>
      </c>
      <c r="M316" t="str">
        <f>TEXT(D316,"ddd")</f>
        <v>Wed</v>
      </c>
      <c r="N316">
        <f>DATEDIF(D316, E316, "d")</f>
        <v>4</v>
      </c>
      <c r="O316">
        <f>ROUND(Table1[[#This Row],[Unit Price]]*Table1[[#This Row],[Quantity]]*VLOOKUP(C316,Table2[#All],2,FALSE),0)</f>
        <v>5429</v>
      </c>
      <c r="P316">
        <f>ROUND(F316*G316,0)</f>
        <v>6786</v>
      </c>
      <c r="Q316">
        <f>ROUND((G316*F316)-O316,0)</f>
        <v>1357</v>
      </c>
    </row>
    <row r="317" spans="1:17">
      <c r="A317" t="s">
        <v>432</v>
      </c>
      <c r="B317" t="s">
        <v>23</v>
      </c>
      <c r="C317" t="s">
        <v>69</v>
      </c>
      <c r="D317" s="1">
        <v>45842</v>
      </c>
      <c r="E317" s="1">
        <v>45849</v>
      </c>
      <c r="F317">
        <v>2</v>
      </c>
      <c r="G317">
        <v>969</v>
      </c>
      <c r="H317" t="s">
        <v>13</v>
      </c>
      <c r="I317" t="s">
        <v>32</v>
      </c>
      <c r="J317" t="s">
        <v>45</v>
      </c>
      <c r="K317">
        <f>YEAR(D317)</f>
        <v>2025</v>
      </c>
      <c r="L317" t="str">
        <f>TEXT(D317,"mmm")</f>
        <v>Jul</v>
      </c>
      <c r="M317" t="str">
        <f>TEXT(D317,"ddd")</f>
        <v>Fri</v>
      </c>
      <c r="N317">
        <f>DATEDIF(D317, E317, "d")</f>
        <v>7</v>
      </c>
      <c r="O317">
        <f>ROUND(Table1[[#This Row],[Unit Price]]*Table1[[#This Row],[Quantity]]*VLOOKUP(C317,Table2[#All],2,FALSE),0)</f>
        <v>1066</v>
      </c>
      <c r="P317">
        <f>ROUND(F317*G317,0)</f>
        <v>1938</v>
      </c>
      <c r="Q317">
        <f>ROUND((G317*F317)-O317,0)</f>
        <v>872</v>
      </c>
    </row>
    <row r="318" spans="1:17">
      <c r="A318" t="s">
        <v>94</v>
      </c>
      <c r="B318" t="s">
        <v>11</v>
      </c>
      <c r="C318" t="s">
        <v>95</v>
      </c>
      <c r="D318" s="1">
        <v>45555</v>
      </c>
      <c r="E318" s="1">
        <v>45562</v>
      </c>
      <c r="F318">
        <v>10</v>
      </c>
      <c r="G318">
        <v>353</v>
      </c>
      <c r="H318" t="s">
        <v>27</v>
      </c>
      <c r="I318" t="s">
        <v>550</v>
      </c>
      <c r="J318" t="s">
        <v>45</v>
      </c>
      <c r="K318">
        <f>YEAR(D318)</f>
        <v>2024</v>
      </c>
      <c r="L318" t="str">
        <f>TEXT(D318,"mmm")</f>
        <v>Sep</v>
      </c>
      <c r="M318" t="str">
        <f>TEXT(D318,"ddd")</f>
        <v>Fri</v>
      </c>
      <c r="N318">
        <f>DATEDIF(D318, E318, "d")</f>
        <v>7</v>
      </c>
      <c r="O318">
        <f>ROUND(Table1[[#This Row],[Unit Price]]*Table1[[#This Row],[Quantity]]*VLOOKUP(C318,Table2[#All],2,FALSE),0)</f>
        <v>2471</v>
      </c>
      <c r="P318">
        <f>ROUND(F318*G318,0)</f>
        <v>3530</v>
      </c>
      <c r="Q318">
        <f>ROUND((G318*F318)-O318,0)</f>
        <v>1059</v>
      </c>
    </row>
    <row r="319" spans="1:17">
      <c r="A319" t="s">
        <v>94</v>
      </c>
      <c r="B319" t="s">
        <v>23</v>
      </c>
      <c r="C319" t="s">
        <v>24</v>
      </c>
      <c r="D319" s="1">
        <v>45966</v>
      </c>
      <c r="E319" s="1">
        <v>45968</v>
      </c>
      <c r="F319">
        <v>9</v>
      </c>
      <c r="G319">
        <v>828</v>
      </c>
      <c r="H319" t="s">
        <v>13</v>
      </c>
      <c r="I319" t="s">
        <v>548</v>
      </c>
      <c r="J319" t="s">
        <v>18</v>
      </c>
      <c r="K319">
        <f>YEAR(D319)</f>
        <v>2025</v>
      </c>
      <c r="L319" t="str">
        <f>TEXT(D319,"mmm")</f>
        <v>Nov</v>
      </c>
      <c r="M319" t="str">
        <f>TEXT(D319,"ddd")</f>
        <v>Wed</v>
      </c>
      <c r="N319">
        <f>DATEDIF(D319, E319, "d")</f>
        <v>2</v>
      </c>
      <c r="O319">
        <f>ROUND(Table1[[#This Row],[Unit Price]]*Table1[[#This Row],[Quantity]]*VLOOKUP(C319,Table2[#All],2,FALSE),0)</f>
        <v>4099</v>
      </c>
      <c r="P319">
        <f>ROUND(F319*G319,0)</f>
        <v>7452</v>
      </c>
      <c r="Q319">
        <f>ROUND((G319*F319)-O319,0)</f>
        <v>3353</v>
      </c>
    </row>
    <row r="320" spans="1:17">
      <c r="A320" t="s">
        <v>122</v>
      </c>
      <c r="B320" t="s">
        <v>23</v>
      </c>
      <c r="C320" t="s">
        <v>24</v>
      </c>
      <c r="D320" s="1">
        <v>45386</v>
      </c>
      <c r="E320" s="1">
        <v>45397</v>
      </c>
      <c r="F320">
        <v>1</v>
      </c>
      <c r="G320">
        <v>268</v>
      </c>
      <c r="H320" t="s">
        <v>13</v>
      </c>
      <c r="I320" t="s">
        <v>548</v>
      </c>
      <c r="J320" t="s">
        <v>14</v>
      </c>
      <c r="K320">
        <f>YEAR(D320)</f>
        <v>2024</v>
      </c>
      <c r="L320" t="str">
        <f>TEXT(D320,"mmm")</f>
        <v>Apr</v>
      </c>
      <c r="M320" t="str">
        <f>TEXT(D320,"ddd")</f>
        <v>Thu</v>
      </c>
      <c r="N320">
        <f>DATEDIF(D320, E320, "d")</f>
        <v>11</v>
      </c>
      <c r="O320">
        <f>ROUND(Table1[[#This Row],[Unit Price]]*Table1[[#This Row],[Quantity]]*VLOOKUP(C320,Table2[#All],2,FALSE),0)</f>
        <v>147</v>
      </c>
      <c r="P320">
        <f>ROUND(F320*G320,0)</f>
        <v>268</v>
      </c>
      <c r="Q320">
        <f>ROUND((G320*F320)-O320,0)</f>
        <v>121</v>
      </c>
    </row>
    <row r="321" spans="1:17">
      <c r="A321" t="s">
        <v>191</v>
      </c>
      <c r="B321" t="s">
        <v>30</v>
      </c>
      <c r="C321" t="s">
        <v>78</v>
      </c>
      <c r="D321" s="1">
        <v>45490</v>
      </c>
      <c r="E321" s="1">
        <v>45504</v>
      </c>
      <c r="F321">
        <v>7</v>
      </c>
      <c r="G321">
        <v>803</v>
      </c>
      <c r="H321" t="s">
        <v>13</v>
      </c>
      <c r="I321" t="s">
        <v>546</v>
      </c>
      <c r="J321" t="s">
        <v>14</v>
      </c>
      <c r="K321">
        <f>YEAR(D321)</f>
        <v>2024</v>
      </c>
      <c r="L321" t="str">
        <f>TEXT(D321,"mmm")</f>
        <v>Jul</v>
      </c>
      <c r="M321" t="str">
        <f>TEXT(D321,"ddd")</f>
        <v>Wed</v>
      </c>
      <c r="N321">
        <f>DATEDIF(D321, E321, "d")</f>
        <v>14</v>
      </c>
      <c r="O321">
        <f>ROUND(Table1[[#This Row],[Unit Price]]*Table1[[#This Row],[Quantity]]*VLOOKUP(C321,Table2[#All],2,FALSE),0)</f>
        <v>3654</v>
      </c>
      <c r="P321">
        <f>ROUND(F321*G321,0)</f>
        <v>5621</v>
      </c>
      <c r="Q321">
        <f>ROUND((G321*F321)-O321,0)</f>
        <v>1967</v>
      </c>
    </row>
    <row r="322" spans="1:17">
      <c r="A322" t="s">
        <v>241</v>
      </c>
      <c r="B322" t="s">
        <v>20</v>
      </c>
      <c r="C322" t="s">
        <v>82</v>
      </c>
      <c r="D322" s="1">
        <v>45456</v>
      </c>
      <c r="E322" s="1">
        <v>45460</v>
      </c>
      <c r="F322">
        <v>5</v>
      </c>
      <c r="G322">
        <v>671</v>
      </c>
      <c r="H322" t="s">
        <v>27</v>
      </c>
      <c r="I322" t="s">
        <v>550</v>
      </c>
      <c r="J322" t="s">
        <v>14</v>
      </c>
      <c r="K322">
        <f>YEAR(D322)</f>
        <v>2024</v>
      </c>
      <c r="L322" t="str">
        <f>TEXT(D322,"mmm")</f>
        <v>Jun</v>
      </c>
      <c r="M322" t="str">
        <f>TEXT(D322,"ddd")</f>
        <v>Thu</v>
      </c>
      <c r="N322">
        <f>DATEDIF(D322, E322, "d")</f>
        <v>4</v>
      </c>
      <c r="O322">
        <f>ROUND(Table1[[#This Row],[Unit Price]]*Table1[[#This Row],[Quantity]]*VLOOKUP(C322,Table2[#All],2,FALSE),0)</f>
        <v>2684</v>
      </c>
      <c r="P322">
        <f>ROUND(F322*G322,0)</f>
        <v>3355</v>
      </c>
      <c r="Q322">
        <f>ROUND((G322*F322)-O322,0)</f>
        <v>671</v>
      </c>
    </row>
    <row r="323" spans="1:17">
      <c r="A323" t="s">
        <v>163</v>
      </c>
      <c r="B323" t="s">
        <v>23</v>
      </c>
      <c r="C323" t="s">
        <v>37</v>
      </c>
      <c r="D323" s="1">
        <v>45510</v>
      </c>
      <c r="E323" s="1">
        <v>45521</v>
      </c>
      <c r="F323">
        <v>2</v>
      </c>
      <c r="G323">
        <v>512</v>
      </c>
      <c r="H323" t="s">
        <v>13</v>
      </c>
      <c r="I323" t="s">
        <v>32</v>
      </c>
      <c r="J323" t="s">
        <v>14</v>
      </c>
      <c r="K323">
        <f>YEAR(D323)</f>
        <v>2024</v>
      </c>
      <c r="L323" t="str">
        <f>TEXT(D323,"mmm")</f>
        <v>Aug</v>
      </c>
      <c r="M323" t="str">
        <f>TEXT(D323,"ddd")</f>
        <v>Tue</v>
      </c>
      <c r="N323">
        <f>DATEDIF(D323, E323, "d")</f>
        <v>11</v>
      </c>
      <c r="O323">
        <f>ROUND(Table1[[#This Row],[Unit Price]]*Table1[[#This Row],[Quantity]]*VLOOKUP(C323,Table2[#All],2,FALSE),0)</f>
        <v>512</v>
      </c>
      <c r="P323">
        <f>ROUND(F323*G323,0)</f>
        <v>1024</v>
      </c>
      <c r="Q323">
        <f>ROUND((G323*F323)-O323,0)</f>
        <v>512</v>
      </c>
    </row>
    <row r="324" spans="1:17">
      <c r="A324" t="s">
        <v>15</v>
      </c>
      <c r="B324" t="s">
        <v>16</v>
      </c>
      <c r="C324" t="s">
        <v>17</v>
      </c>
      <c r="D324" s="1">
        <v>45594</v>
      </c>
      <c r="E324" s="1">
        <v>45600</v>
      </c>
      <c r="F324">
        <v>7</v>
      </c>
      <c r="G324">
        <v>42</v>
      </c>
      <c r="H324" t="s">
        <v>13</v>
      </c>
      <c r="I324" t="s">
        <v>550</v>
      </c>
      <c r="J324" t="s">
        <v>18</v>
      </c>
      <c r="K324">
        <f>YEAR(D324)</f>
        <v>2024</v>
      </c>
      <c r="L324" t="str">
        <f>TEXT(D324,"mmm")</f>
        <v>Oct</v>
      </c>
      <c r="M324" t="str">
        <f>TEXT(D324,"ddd")</f>
        <v>Tue</v>
      </c>
      <c r="N324">
        <f>DATEDIF(D324, E324, "d")</f>
        <v>6</v>
      </c>
      <c r="O324">
        <f>ROUND(Table1[[#This Row],[Unit Price]]*Table1[[#This Row],[Quantity]]*VLOOKUP(C324,Table2[#All],2,FALSE),0)</f>
        <v>147</v>
      </c>
      <c r="P324">
        <f>ROUND(F324*G324,0)</f>
        <v>294</v>
      </c>
      <c r="Q324">
        <f>ROUND((G324*F324)-O324,0)</f>
        <v>147</v>
      </c>
    </row>
    <row r="325" spans="1:17">
      <c r="A325" t="s">
        <v>392</v>
      </c>
      <c r="B325" t="s">
        <v>11</v>
      </c>
      <c r="C325" t="s">
        <v>26</v>
      </c>
      <c r="D325" s="1">
        <v>45911</v>
      </c>
      <c r="E325" s="1">
        <v>45917</v>
      </c>
      <c r="F325">
        <v>6</v>
      </c>
      <c r="G325">
        <v>992</v>
      </c>
      <c r="H325" t="s">
        <v>27</v>
      </c>
      <c r="I325" t="s">
        <v>548</v>
      </c>
      <c r="J325" t="s">
        <v>14</v>
      </c>
      <c r="K325">
        <f>YEAR(D325)</f>
        <v>2025</v>
      </c>
      <c r="L325" t="str">
        <f>TEXT(D325,"mmm")</f>
        <v>Sep</v>
      </c>
      <c r="M325" t="str">
        <f>TEXT(D325,"ddd")</f>
        <v>Thu</v>
      </c>
      <c r="N325">
        <f>DATEDIF(D325, E325, "d")</f>
        <v>6</v>
      </c>
      <c r="O325">
        <f>ROUND(Table1[[#This Row],[Unit Price]]*Table1[[#This Row],[Quantity]]*VLOOKUP(C325,Table2[#All],2,FALSE),0)</f>
        <v>3869</v>
      </c>
      <c r="P325">
        <f>ROUND(F325*G325,0)</f>
        <v>5952</v>
      </c>
      <c r="Q325">
        <f>ROUND((G325*F325)-O325,0)</f>
        <v>2083</v>
      </c>
    </row>
    <row r="326" spans="1:17">
      <c r="A326" t="s">
        <v>526</v>
      </c>
      <c r="B326" t="s">
        <v>16</v>
      </c>
      <c r="C326" t="s">
        <v>55</v>
      </c>
      <c r="D326" s="1">
        <v>45689</v>
      </c>
      <c r="E326" s="1">
        <v>45693</v>
      </c>
      <c r="F326">
        <v>4</v>
      </c>
      <c r="G326">
        <v>439</v>
      </c>
      <c r="H326" t="s">
        <v>13</v>
      </c>
      <c r="I326" t="s">
        <v>549</v>
      </c>
      <c r="J326" t="s">
        <v>28</v>
      </c>
      <c r="K326">
        <f>YEAR(D326)</f>
        <v>2025</v>
      </c>
      <c r="L326" t="str">
        <f>TEXT(D326,"mmm")</f>
        <v>Feb</v>
      </c>
      <c r="M326" t="str">
        <f>TEXT(D326,"ddd")</f>
        <v>Sat</v>
      </c>
      <c r="N326">
        <f>DATEDIF(D326, E326, "d")</f>
        <v>4</v>
      </c>
      <c r="O326">
        <f>ROUND(Table1[[#This Row],[Unit Price]]*Table1[[#This Row],[Quantity]]*VLOOKUP(C326,Table2[#All],2,FALSE),0)</f>
        <v>966</v>
      </c>
      <c r="P326">
        <f>ROUND(F326*G326,0)</f>
        <v>1756</v>
      </c>
      <c r="Q326">
        <f>ROUND((G326*F326)-O326,0)</f>
        <v>790</v>
      </c>
    </row>
    <row r="327" spans="1:17">
      <c r="A327" t="s">
        <v>152</v>
      </c>
      <c r="B327" t="s">
        <v>16</v>
      </c>
      <c r="C327" t="s">
        <v>17</v>
      </c>
      <c r="D327" s="1">
        <v>45524</v>
      </c>
      <c r="E327" s="1">
        <v>45534</v>
      </c>
      <c r="F327">
        <v>6</v>
      </c>
      <c r="G327">
        <v>698</v>
      </c>
      <c r="H327" t="s">
        <v>27</v>
      </c>
      <c r="I327" t="s">
        <v>32</v>
      </c>
      <c r="J327" t="s">
        <v>28</v>
      </c>
      <c r="K327">
        <f>YEAR(D327)</f>
        <v>2024</v>
      </c>
      <c r="L327" t="str">
        <f>TEXT(D327,"mmm")</f>
        <v>Aug</v>
      </c>
      <c r="M327" t="str">
        <f>TEXT(D327,"ddd")</f>
        <v>Tue</v>
      </c>
      <c r="N327">
        <f>DATEDIF(D327, E327, "d")</f>
        <v>10</v>
      </c>
      <c r="O327">
        <f>ROUND(Table1[[#This Row],[Unit Price]]*Table1[[#This Row],[Quantity]]*VLOOKUP(C327,Table2[#All],2,FALSE),0)</f>
        <v>2094</v>
      </c>
      <c r="P327">
        <f>ROUND(F327*G327,0)</f>
        <v>4188</v>
      </c>
      <c r="Q327">
        <f>ROUND((G327*F327)-O327,0)</f>
        <v>2094</v>
      </c>
    </row>
    <row r="328" spans="1:17">
      <c r="A328" t="s">
        <v>56</v>
      </c>
      <c r="B328" t="s">
        <v>11</v>
      </c>
      <c r="C328" t="s">
        <v>57</v>
      </c>
      <c r="D328" s="1">
        <v>45582</v>
      </c>
      <c r="E328" s="1">
        <v>45588</v>
      </c>
      <c r="F328">
        <v>2</v>
      </c>
      <c r="G328">
        <v>97</v>
      </c>
      <c r="H328" t="s">
        <v>13</v>
      </c>
      <c r="I328" t="s">
        <v>32</v>
      </c>
      <c r="J328" t="s">
        <v>45</v>
      </c>
      <c r="K328">
        <f>YEAR(D328)</f>
        <v>2024</v>
      </c>
      <c r="L328" t="str">
        <f>TEXT(D328,"mmm")</f>
        <v>Oct</v>
      </c>
      <c r="M328" t="str">
        <f>TEXT(D328,"ddd")</f>
        <v>Thu</v>
      </c>
      <c r="N328">
        <f>DATEDIF(D328, E328, "d")</f>
        <v>6</v>
      </c>
      <c r="O328">
        <f>ROUND(Table1[[#This Row],[Unit Price]]*Table1[[#This Row],[Quantity]]*VLOOKUP(C328,Table2[#All],2,FALSE),0)</f>
        <v>165</v>
      </c>
      <c r="P328">
        <f>ROUND(F328*G328,0)</f>
        <v>194</v>
      </c>
      <c r="Q328">
        <f>ROUND((G328*F328)-O328,0)</f>
        <v>29</v>
      </c>
    </row>
    <row r="329" spans="1:17">
      <c r="A329" t="s">
        <v>56</v>
      </c>
      <c r="B329" t="s">
        <v>30</v>
      </c>
      <c r="C329" t="s">
        <v>49</v>
      </c>
      <c r="D329" s="1">
        <v>45916</v>
      </c>
      <c r="E329" s="1">
        <v>45919</v>
      </c>
      <c r="F329">
        <v>10</v>
      </c>
      <c r="G329">
        <v>741</v>
      </c>
      <c r="H329" t="s">
        <v>27</v>
      </c>
      <c r="I329" t="s">
        <v>546</v>
      </c>
      <c r="J329" t="s">
        <v>45</v>
      </c>
      <c r="K329">
        <f>YEAR(D329)</f>
        <v>2025</v>
      </c>
      <c r="L329" t="str">
        <f>TEXT(D329,"mmm")</f>
        <v>Sep</v>
      </c>
      <c r="M329" t="str">
        <f>TEXT(D329,"ddd")</f>
        <v>Tue</v>
      </c>
      <c r="N329">
        <f>DATEDIF(D329, E329, "d")</f>
        <v>3</v>
      </c>
      <c r="O329">
        <f>ROUND(Table1[[#This Row],[Unit Price]]*Table1[[#This Row],[Quantity]]*VLOOKUP(C329,Table2[#All],2,FALSE),0)</f>
        <v>5187</v>
      </c>
      <c r="P329">
        <f>ROUND(F329*G329,0)</f>
        <v>7410</v>
      </c>
      <c r="Q329">
        <f>ROUND((G329*F329)-O329,0)</f>
        <v>2223</v>
      </c>
    </row>
    <row r="330" spans="1:17">
      <c r="A330" t="s">
        <v>479</v>
      </c>
      <c r="B330" t="s">
        <v>11</v>
      </c>
      <c r="C330" t="s">
        <v>57</v>
      </c>
      <c r="D330" s="1">
        <v>45663</v>
      </c>
      <c r="E330" s="1">
        <v>45669</v>
      </c>
      <c r="F330">
        <v>8</v>
      </c>
      <c r="G330">
        <v>527</v>
      </c>
      <c r="H330" t="s">
        <v>27</v>
      </c>
      <c r="I330" t="s">
        <v>550</v>
      </c>
      <c r="J330" t="s">
        <v>45</v>
      </c>
      <c r="K330">
        <f>YEAR(D330)</f>
        <v>2025</v>
      </c>
      <c r="L330" t="str">
        <f>TEXT(D330,"mmm")</f>
        <v>Jan</v>
      </c>
      <c r="M330" t="str">
        <f>TEXT(D330,"ddd")</f>
        <v>Mon</v>
      </c>
      <c r="N330">
        <f>DATEDIF(D330, E330, "d")</f>
        <v>6</v>
      </c>
      <c r="O330">
        <f>ROUND(Table1[[#This Row],[Unit Price]]*Table1[[#This Row],[Quantity]]*VLOOKUP(C330,Table2[#All],2,FALSE),0)</f>
        <v>3584</v>
      </c>
      <c r="P330">
        <f>ROUND(F330*G330,0)</f>
        <v>4216</v>
      </c>
      <c r="Q330">
        <f>ROUND((G330*F330)-O330,0)</f>
        <v>632</v>
      </c>
    </row>
    <row r="331" spans="1:17">
      <c r="A331" t="s">
        <v>465</v>
      </c>
      <c r="B331" t="s">
        <v>30</v>
      </c>
      <c r="C331" t="s">
        <v>49</v>
      </c>
      <c r="D331" s="1">
        <v>45707</v>
      </c>
      <c r="E331" s="1">
        <v>45717</v>
      </c>
      <c r="F331">
        <v>4</v>
      </c>
      <c r="G331">
        <v>371</v>
      </c>
      <c r="H331" t="s">
        <v>27</v>
      </c>
      <c r="I331" t="s">
        <v>548</v>
      </c>
      <c r="J331" t="s">
        <v>45</v>
      </c>
      <c r="K331">
        <f>YEAR(D331)</f>
        <v>2025</v>
      </c>
      <c r="L331" t="str">
        <f>TEXT(D331,"mmm")</f>
        <v>Feb</v>
      </c>
      <c r="M331" t="str">
        <f>TEXT(D331,"ddd")</f>
        <v>Wed</v>
      </c>
      <c r="N331">
        <f>DATEDIF(D331, E331, "d")</f>
        <v>10</v>
      </c>
      <c r="O331">
        <f>ROUND(Table1[[#This Row],[Unit Price]]*Table1[[#This Row],[Quantity]]*VLOOKUP(C331,Table2[#All],2,FALSE),0)</f>
        <v>1039</v>
      </c>
      <c r="P331">
        <f>ROUND(F331*G331,0)</f>
        <v>1484</v>
      </c>
      <c r="Q331">
        <f>ROUND((G331*F331)-O331,0)</f>
        <v>445</v>
      </c>
    </row>
    <row r="332" spans="1:17">
      <c r="A332" t="s">
        <v>499</v>
      </c>
      <c r="B332" t="s">
        <v>11</v>
      </c>
      <c r="C332" t="s">
        <v>57</v>
      </c>
      <c r="D332" s="1">
        <v>46008</v>
      </c>
      <c r="E332" s="1">
        <v>46013</v>
      </c>
      <c r="F332">
        <v>1</v>
      </c>
      <c r="G332">
        <v>979</v>
      </c>
      <c r="H332" t="s">
        <v>27</v>
      </c>
      <c r="I332" t="s">
        <v>550</v>
      </c>
      <c r="J332" t="s">
        <v>28</v>
      </c>
      <c r="K332">
        <f>YEAR(D332)</f>
        <v>2025</v>
      </c>
      <c r="L332" t="str">
        <f>TEXT(D332,"mmm")</f>
        <v>Dec</v>
      </c>
      <c r="M332" t="str">
        <f>TEXT(D332,"ddd")</f>
        <v>Wed</v>
      </c>
      <c r="N332">
        <f>DATEDIF(D332, E332, "d")</f>
        <v>5</v>
      </c>
      <c r="O332">
        <f>ROUND(Table1[[#This Row],[Unit Price]]*Table1[[#This Row],[Quantity]]*VLOOKUP(C332,Table2[#All],2,FALSE),0)</f>
        <v>832</v>
      </c>
      <c r="P332">
        <f>ROUND(F332*G332,0)</f>
        <v>979</v>
      </c>
      <c r="Q332">
        <f>ROUND((G332*F332)-O332,0)</f>
        <v>147</v>
      </c>
    </row>
    <row r="333" spans="1:17">
      <c r="A333" t="s">
        <v>519</v>
      </c>
      <c r="B333" t="s">
        <v>23</v>
      </c>
      <c r="C333" t="s">
        <v>24</v>
      </c>
      <c r="D333" s="1">
        <v>45909</v>
      </c>
      <c r="E333" s="1">
        <v>45911</v>
      </c>
      <c r="F333">
        <v>2</v>
      </c>
      <c r="G333">
        <v>31</v>
      </c>
      <c r="H333" t="s">
        <v>27</v>
      </c>
      <c r="I333" t="s">
        <v>546</v>
      </c>
      <c r="J333" t="s">
        <v>14</v>
      </c>
      <c r="K333">
        <f>YEAR(D333)</f>
        <v>2025</v>
      </c>
      <c r="L333" t="str">
        <f>TEXT(D333,"mmm")</f>
        <v>Sep</v>
      </c>
      <c r="M333" t="str">
        <f>TEXT(D333,"ddd")</f>
        <v>Tue</v>
      </c>
      <c r="N333">
        <f>DATEDIF(D333, E333, "d")</f>
        <v>2</v>
      </c>
      <c r="O333">
        <f>ROUND(Table1[[#This Row],[Unit Price]]*Table1[[#This Row],[Quantity]]*VLOOKUP(C333,Table2[#All],2,FALSE),0)</f>
        <v>34</v>
      </c>
      <c r="P333">
        <f>ROUND(F333*G333,0)</f>
        <v>62</v>
      </c>
      <c r="Q333">
        <f>ROUND((G333*F333)-O333,0)</f>
        <v>28</v>
      </c>
    </row>
    <row r="334" spans="1:17">
      <c r="A334" t="s">
        <v>315</v>
      </c>
      <c r="B334" t="s">
        <v>23</v>
      </c>
      <c r="C334" t="s">
        <v>24</v>
      </c>
      <c r="D334" s="1">
        <v>45324</v>
      </c>
      <c r="E334" s="1">
        <v>45333</v>
      </c>
      <c r="F334">
        <v>9</v>
      </c>
      <c r="G334">
        <v>417</v>
      </c>
      <c r="H334" t="s">
        <v>13</v>
      </c>
      <c r="I334" t="s">
        <v>547</v>
      </c>
      <c r="J334" t="s">
        <v>45</v>
      </c>
      <c r="K334">
        <f>YEAR(D334)</f>
        <v>2024</v>
      </c>
      <c r="L334" t="str">
        <f>TEXT(D334,"mmm")</f>
        <v>Feb</v>
      </c>
      <c r="M334" t="str">
        <f>TEXT(D334,"ddd")</f>
        <v>Fri</v>
      </c>
      <c r="N334">
        <f>DATEDIF(D334, E334, "d")</f>
        <v>9</v>
      </c>
      <c r="O334">
        <f>ROUND(Table1[[#This Row],[Unit Price]]*Table1[[#This Row],[Quantity]]*VLOOKUP(C334,Table2[#All],2,FALSE),0)</f>
        <v>2064</v>
      </c>
      <c r="P334">
        <f>ROUND(F334*G334,0)</f>
        <v>3753</v>
      </c>
      <c r="Q334">
        <f>ROUND((G334*F334)-O334,0)</f>
        <v>1689</v>
      </c>
    </row>
    <row r="335" spans="1:17">
      <c r="A335" t="s">
        <v>480</v>
      </c>
      <c r="B335" t="s">
        <v>20</v>
      </c>
      <c r="C335" t="s">
        <v>82</v>
      </c>
      <c r="D335" s="1">
        <v>45992</v>
      </c>
      <c r="E335" s="1">
        <v>46002</v>
      </c>
      <c r="F335">
        <v>10</v>
      </c>
      <c r="G335">
        <v>752</v>
      </c>
      <c r="H335" t="s">
        <v>13</v>
      </c>
      <c r="I335" t="s">
        <v>550</v>
      </c>
      <c r="J335" t="s">
        <v>14</v>
      </c>
      <c r="K335">
        <f>YEAR(D335)</f>
        <v>2025</v>
      </c>
      <c r="L335" t="str">
        <f>TEXT(D335,"mmm")</f>
        <v>Dec</v>
      </c>
      <c r="M335" t="str">
        <f>TEXT(D335,"ddd")</f>
        <v>Mon</v>
      </c>
      <c r="N335">
        <f>DATEDIF(D335, E335, "d")</f>
        <v>10</v>
      </c>
      <c r="O335">
        <f>ROUND(Table1[[#This Row],[Unit Price]]*Table1[[#This Row],[Quantity]]*VLOOKUP(C335,Table2[#All],2,FALSE),0)</f>
        <v>6016</v>
      </c>
      <c r="P335">
        <f>ROUND(F335*G335,0)</f>
        <v>7520</v>
      </c>
      <c r="Q335">
        <f>ROUND((G335*F335)-O335,0)</f>
        <v>1504</v>
      </c>
    </row>
    <row r="336" spans="1:17">
      <c r="A336" t="s">
        <v>481</v>
      </c>
      <c r="B336" t="s">
        <v>23</v>
      </c>
      <c r="C336" t="s">
        <v>37</v>
      </c>
      <c r="D336" s="1">
        <v>45988</v>
      </c>
      <c r="E336" s="1">
        <v>45995</v>
      </c>
      <c r="F336">
        <v>1</v>
      </c>
      <c r="G336">
        <v>821</v>
      </c>
      <c r="H336" t="s">
        <v>13</v>
      </c>
      <c r="I336" t="s">
        <v>548</v>
      </c>
      <c r="J336" t="s">
        <v>14</v>
      </c>
      <c r="K336">
        <f>YEAR(D336)</f>
        <v>2025</v>
      </c>
      <c r="L336" t="str">
        <f>TEXT(D336,"mmm")</f>
        <v>Nov</v>
      </c>
      <c r="M336" t="str">
        <f>TEXT(D336,"ddd")</f>
        <v>Thu</v>
      </c>
      <c r="N336">
        <f>DATEDIF(D336, E336, "d")</f>
        <v>7</v>
      </c>
      <c r="O336">
        <f>ROUND(Table1[[#This Row],[Unit Price]]*Table1[[#This Row],[Quantity]]*VLOOKUP(C336,Table2[#All],2,FALSE),0)</f>
        <v>411</v>
      </c>
      <c r="P336">
        <f>ROUND(F336*G336,0)</f>
        <v>821</v>
      </c>
      <c r="Q336">
        <f>ROUND((G336*F336)-O336,0)</f>
        <v>410</v>
      </c>
    </row>
    <row r="337" spans="1:17">
      <c r="A337" t="s">
        <v>293</v>
      </c>
      <c r="B337" t="s">
        <v>23</v>
      </c>
      <c r="C337" t="s">
        <v>99</v>
      </c>
      <c r="D337" s="1">
        <v>45616</v>
      </c>
      <c r="E337" s="1">
        <v>45638</v>
      </c>
      <c r="F337">
        <v>5</v>
      </c>
      <c r="G337">
        <v>257</v>
      </c>
      <c r="H337" t="s">
        <v>27</v>
      </c>
      <c r="I337" t="s">
        <v>546</v>
      </c>
      <c r="J337" t="s">
        <v>45</v>
      </c>
      <c r="K337">
        <f>YEAR(D337)</f>
        <v>2024</v>
      </c>
      <c r="L337" t="str">
        <f>TEXT(D337,"mmm")</f>
        <v>Nov</v>
      </c>
      <c r="M337" t="str">
        <f>TEXT(D337,"ddd")</f>
        <v>Wed</v>
      </c>
      <c r="N337">
        <f>DATEDIF(D337, E337, "d")</f>
        <v>22</v>
      </c>
      <c r="O337">
        <f>ROUND(Table1[[#This Row],[Unit Price]]*Table1[[#This Row],[Quantity]]*VLOOKUP(C337,Table2[#All],2,FALSE),0)</f>
        <v>771</v>
      </c>
      <c r="P337">
        <f>ROUND(F337*G337,0)</f>
        <v>1285</v>
      </c>
      <c r="Q337">
        <f>ROUND((G337*F337)-O337,0)</f>
        <v>514</v>
      </c>
    </row>
    <row r="338" spans="1:17">
      <c r="A338" t="s">
        <v>459</v>
      </c>
      <c r="B338" t="s">
        <v>11</v>
      </c>
      <c r="C338" t="s">
        <v>57</v>
      </c>
      <c r="D338" s="1">
        <v>45909</v>
      </c>
      <c r="E338" s="1">
        <v>45911</v>
      </c>
      <c r="F338">
        <v>4</v>
      </c>
      <c r="G338">
        <v>249</v>
      </c>
      <c r="H338" t="s">
        <v>27</v>
      </c>
      <c r="I338" t="s">
        <v>550</v>
      </c>
      <c r="J338" t="s">
        <v>14</v>
      </c>
      <c r="K338">
        <f>YEAR(D338)</f>
        <v>2025</v>
      </c>
      <c r="L338" t="str">
        <f>TEXT(D338,"mmm")</f>
        <v>Sep</v>
      </c>
      <c r="M338" t="str">
        <f>TEXT(D338,"ddd")</f>
        <v>Tue</v>
      </c>
      <c r="N338">
        <f>DATEDIF(D338, E338, "d")</f>
        <v>2</v>
      </c>
      <c r="O338">
        <f>ROUND(Table1[[#This Row],[Unit Price]]*Table1[[#This Row],[Quantity]]*VLOOKUP(C338,Table2[#All],2,FALSE),0)</f>
        <v>847</v>
      </c>
      <c r="P338">
        <f>ROUND(F338*G338,0)</f>
        <v>996</v>
      </c>
      <c r="Q338">
        <f>ROUND((G338*F338)-O338,0)</f>
        <v>149</v>
      </c>
    </row>
    <row r="339" spans="1:17">
      <c r="A339" t="s">
        <v>248</v>
      </c>
      <c r="B339" t="s">
        <v>16</v>
      </c>
      <c r="C339" t="s">
        <v>17</v>
      </c>
      <c r="D339" s="1">
        <v>45425</v>
      </c>
      <c r="E339" s="1">
        <v>45432</v>
      </c>
      <c r="F339">
        <v>6</v>
      </c>
      <c r="G339">
        <v>719</v>
      </c>
      <c r="H339" t="s">
        <v>27</v>
      </c>
      <c r="I339" t="s">
        <v>550</v>
      </c>
      <c r="J339" t="s">
        <v>45</v>
      </c>
      <c r="K339">
        <f>YEAR(D339)</f>
        <v>2024</v>
      </c>
      <c r="L339" t="str">
        <f>TEXT(D339,"mmm")</f>
        <v>May</v>
      </c>
      <c r="M339" t="str">
        <f>TEXT(D339,"ddd")</f>
        <v>Mon</v>
      </c>
      <c r="N339">
        <f>DATEDIF(D339, E339, "d")</f>
        <v>7</v>
      </c>
      <c r="O339">
        <f>ROUND(Table1[[#This Row],[Unit Price]]*Table1[[#This Row],[Quantity]]*VLOOKUP(C339,Table2[#All],2,FALSE),0)</f>
        <v>2157</v>
      </c>
      <c r="P339">
        <f>ROUND(F339*G339,0)</f>
        <v>4314</v>
      </c>
      <c r="Q339">
        <f>ROUND((G339*F339)-O339,0)</f>
        <v>2157</v>
      </c>
    </row>
    <row r="340" spans="1:17">
      <c r="A340" t="s">
        <v>663</v>
      </c>
      <c r="B340" t="s">
        <v>11</v>
      </c>
      <c r="C340" t="s">
        <v>35</v>
      </c>
      <c r="D340" s="1">
        <v>45352</v>
      </c>
      <c r="E340" s="1">
        <v>45356</v>
      </c>
      <c r="F340">
        <v>1</v>
      </c>
      <c r="G340">
        <v>200</v>
      </c>
      <c r="H340" t="s">
        <v>13</v>
      </c>
      <c r="I340" t="s">
        <v>550</v>
      </c>
      <c r="J340" t="s">
        <v>18</v>
      </c>
      <c r="K340">
        <f>YEAR(D340)</f>
        <v>2024</v>
      </c>
      <c r="L340" t="str">
        <f>TEXT(D340,"mmm")</f>
        <v>Mar</v>
      </c>
      <c r="M340" t="str">
        <f>TEXT(D340,"ddd")</f>
        <v>Fri</v>
      </c>
      <c r="N340">
        <f>DATEDIF(D340, E340, "d")</f>
        <v>4</v>
      </c>
      <c r="O340">
        <f>ROUND(Table1[[#This Row],[Unit Price]]*Table1[[#This Row],[Quantity]]*VLOOKUP(C340,Table2[#All],2,FALSE),0)</f>
        <v>160</v>
      </c>
      <c r="P340">
        <f>ROUND(F340*G340,0)</f>
        <v>200</v>
      </c>
      <c r="Q340">
        <f>ROUND((G340*F340)-O340,0)</f>
        <v>40</v>
      </c>
    </row>
    <row r="341" spans="1:17">
      <c r="A341" t="s">
        <v>208</v>
      </c>
      <c r="B341" t="s">
        <v>11</v>
      </c>
      <c r="C341" t="s">
        <v>57</v>
      </c>
      <c r="D341" s="1">
        <v>45438</v>
      </c>
      <c r="E341" s="1">
        <v>45445</v>
      </c>
      <c r="F341">
        <v>6</v>
      </c>
      <c r="G341">
        <v>892</v>
      </c>
      <c r="H341" t="s">
        <v>27</v>
      </c>
      <c r="I341" t="s">
        <v>548</v>
      </c>
      <c r="J341" t="s">
        <v>18</v>
      </c>
      <c r="K341">
        <f>YEAR(D341)</f>
        <v>2024</v>
      </c>
      <c r="L341" t="str">
        <f>TEXT(D341,"mmm")</f>
        <v>May</v>
      </c>
      <c r="M341" t="str">
        <f>TEXT(D341,"ddd")</f>
        <v>Sun</v>
      </c>
      <c r="N341">
        <f>DATEDIF(D341, E341, "d")</f>
        <v>7</v>
      </c>
      <c r="O341">
        <f>ROUND(Table1[[#This Row],[Unit Price]]*Table1[[#This Row],[Quantity]]*VLOOKUP(C341,Table2[#All],2,FALSE),0)</f>
        <v>4549</v>
      </c>
      <c r="P341">
        <f>ROUND(F341*G341,0)</f>
        <v>5352</v>
      </c>
      <c r="Q341">
        <f>ROUND((G341*F341)-O341,0)</f>
        <v>803</v>
      </c>
    </row>
    <row r="342" spans="1:17">
      <c r="A342" t="s">
        <v>406</v>
      </c>
      <c r="B342" t="s">
        <v>23</v>
      </c>
      <c r="C342" t="s">
        <v>37</v>
      </c>
      <c r="D342" s="1">
        <v>45892</v>
      </c>
      <c r="E342" s="1">
        <v>45903</v>
      </c>
      <c r="F342">
        <v>4</v>
      </c>
      <c r="G342">
        <v>444</v>
      </c>
      <c r="H342" t="s">
        <v>27</v>
      </c>
      <c r="I342" t="s">
        <v>32</v>
      </c>
      <c r="J342" t="s">
        <v>14</v>
      </c>
      <c r="K342">
        <f>YEAR(D342)</f>
        <v>2025</v>
      </c>
      <c r="L342" t="str">
        <f>TEXT(D342,"mmm")</f>
        <v>Aug</v>
      </c>
      <c r="M342" t="str">
        <f>TEXT(D342,"ddd")</f>
        <v>Sat</v>
      </c>
      <c r="N342">
        <f>DATEDIF(D342, E342, "d")</f>
        <v>11</v>
      </c>
      <c r="O342">
        <f>ROUND(Table1[[#This Row],[Unit Price]]*Table1[[#This Row],[Quantity]]*VLOOKUP(C342,Table2[#All],2,FALSE),0)</f>
        <v>888</v>
      </c>
      <c r="P342">
        <f>ROUND(F342*G342,0)</f>
        <v>1776</v>
      </c>
      <c r="Q342">
        <f>ROUND((G342*F342)-O342,0)</f>
        <v>888</v>
      </c>
    </row>
    <row r="343" spans="1:17">
      <c r="A343" t="s">
        <v>260</v>
      </c>
      <c r="B343" t="s">
        <v>11</v>
      </c>
      <c r="C343" t="s">
        <v>57</v>
      </c>
      <c r="D343" s="1">
        <v>45314</v>
      </c>
      <c r="E343" s="1">
        <v>45327</v>
      </c>
      <c r="F343">
        <v>7</v>
      </c>
      <c r="G343">
        <v>459</v>
      </c>
      <c r="H343" t="s">
        <v>13</v>
      </c>
      <c r="I343" t="s">
        <v>550</v>
      </c>
      <c r="J343" t="s">
        <v>18</v>
      </c>
      <c r="K343">
        <f>YEAR(D343)</f>
        <v>2024</v>
      </c>
      <c r="L343" t="str">
        <f>TEXT(D343,"mmm")</f>
        <v>Jan</v>
      </c>
      <c r="M343" t="str">
        <f>TEXT(D343,"ddd")</f>
        <v>Tue</v>
      </c>
      <c r="N343">
        <f>DATEDIF(D343, E343, "d")</f>
        <v>13</v>
      </c>
      <c r="O343">
        <f>ROUND(Table1[[#This Row],[Unit Price]]*Table1[[#This Row],[Quantity]]*VLOOKUP(C343,Table2[#All],2,FALSE),0)</f>
        <v>2731</v>
      </c>
      <c r="P343">
        <f>ROUND(F343*G343,0)</f>
        <v>3213</v>
      </c>
      <c r="Q343">
        <f>ROUND((G343*F343)-O343,0)</f>
        <v>482</v>
      </c>
    </row>
    <row r="344" spans="1:17">
      <c r="A344" t="s">
        <v>48</v>
      </c>
      <c r="B344" t="s">
        <v>30</v>
      </c>
      <c r="C344" t="s">
        <v>49</v>
      </c>
      <c r="D344" s="1">
        <v>45372</v>
      </c>
      <c r="E344" s="1">
        <v>45380</v>
      </c>
      <c r="F344">
        <v>8</v>
      </c>
      <c r="G344">
        <v>13</v>
      </c>
      <c r="H344" t="s">
        <v>27</v>
      </c>
      <c r="I344" t="s">
        <v>32</v>
      </c>
      <c r="J344" t="s">
        <v>45</v>
      </c>
      <c r="K344">
        <f>YEAR(D344)</f>
        <v>2024</v>
      </c>
      <c r="L344" t="str">
        <f>TEXT(D344,"mmm")</f>
        <v>Mar</v>
      </c>
      <c r="M344" t="str">
        <f>TEXT(D344,"ddd")</f>
        <v>Thu</v>
      </c>
      <c r="N344">
        <f>DATEDIF(D344, E344, "d")</f>
        <v>8</v>
      </c>
      <c r="O344">
        <f>ROUND(Table1[[#This Row],[Unit Price]]*Table1[[#This Row],[Quantity]]*VLOOKUP(C344,Table2[#All],2,FALSE),0)</f>
        <v>73</v>
      </c>
      <c r="P344">
        <f>ROUND(F344*G344,0)</f>
        <v>104</v>
      </c>
      <c r="Q344">
        <f>ROUND((G344*F344)-O344,0)</f>
        <v>31</v>
      </c>
    </row>
    <row r="345" spans="1:17">
      <c r="A345" t="s">
        <v>48</v>
      </c>
      <c r="B345" t="s">
        <v>11</v>
      </c>
      <c r="C345" t="s">
        <v>12</v>
      </c>
      <c r="D345" s="1">
        <v>45759</v>
      </c>
      <c r="E345" s="1">
        <v>45765</v>
      </c>
      <c r="F345">
        <v>5</v>
      </c>
      <c r="G345">
        <v>874</v>
      </c>
      <c r="H345" t="s">
        <v>13</v>
      </c>
      <c r="I345" t="s">
        <v>32</v>
      </c>
      <c r="J345" t="s">
        <v>45</v>
      </c>
      <c r="K345">
        <f>YEAR(D345)</f>
        <v>2025</v>
      </c>
      <c r="L345" t="str">
        <f>TEXT(D345,"mmm")</f>
        <v>Apr</v>
      </c>
      <c r="M345" t="str">
        <f>TEXT(D345,"ddd")</f>
        <v>Sat</v>
      </c>
      <c r="N345">
        <f>DATEDIF(D345, E345, "d")</f>
        <v>6</v>
      </c>
      <c r="O345">
        <f>ROUND(Table1[[#This Row],[Unit Price]]*Table1[[#This Row],[Quantity]]*VLOOKUP(C345,Table2[#All],2,FALSE),0)</f>
        <v>3278</v>
      </c>
      <c r="P345">
        <f>ROUND(F345*G345,0)</f>
        <v>4370</v>
      </c>
      <c r="Q345">
        <f>ROUND((G345*F345)-O345,0)</f>
        <v>1092</v>
      </c>
    </row>
    <row r="346" spans="1:17">
      <c r="A346" t="s">
        <v>451</v>
      </c>
      <c r="B346" t="s">
        <v>30</v>
      </c>
      <c r="C346" t="s">
        <v>49</v>
      </c>
      <c r="D346" s="1">
        <v>45753</v>
      </c>
      <c r="E346" s="1">
        <v>45760</v>
      </c>
      <c r="F346">
        <v>1</v>
      </c>
      <c r="G346">
        <v>386</v>
      </c>
      <c r="H346" t="s">
        <v>13</v>
      </c>
      <c r="I346" t="s">
        <v>550</v>
      </c>
      <c r="J346" t="s">
        <v>18</v>
      </c>
      <c r="K346">
        <f>YEAR(D346)</f>
        <v>2025</v>
      </c>
      <c r="L346" t="str">
        <f>TEXT(D346,"mmm")</f>
        <v>Apr</v>
      </c>
      <c r="M346" t="str">
        <f>TEXT(D346,"ddd")</f>
        <v>Sun</v>
      </c>
      <c r="N346">
        <f>DATEDIF(D346, E346, "d")</f>
        <v>7</v>
      </c>
      <c r="O346">
        <f>ROUND(Table1[[#This Row],[Unit Price]]*Table1[[#This Row],[Quantity]]*VLOOKUP(C346,Table2[#All],2,FALSE),0)</f>
        <v>270</v>
      </c>
      <c r="P346">
        <f>ROUND(F346*G346,0)</f>
        <v>386</v>
      </c>
      <c r="Q346">
        <f>ROUND((G346*F346)-O346,0)</f>
        <v>116</v>
      </c>
    </row>
    <row r="347" spans="1:17">
      <c r="A347" t="s">
        <v>217</v>
      </c>
      <c r="B347" t="s">
        <v>23</v>
      </c>
      <c r="C347" t="s">
        <v>69</v>
      </c>
      <c r="D347" s="1">
        <v>45502</v>
      </c>
      <c r="E347" s="1">
        <v>45512</v>
      </c>
      <c r="F347">
        <v>7</v>
      </c>
      <c r="G347">
        <v>853</v>
      </c>
      <c r="H347" t="s">
        <v>13</v>
      </c>
      <c r="I347" t="s">
        <v>32</v>
      </c>
      <c r="J347" t="s">
        <v>14</v>
      </c>
      <c r="K347">
        <f>YEAR(D347)</f>
        <v>2024</v>
      </c>
      <c r="L347" t="str">
        <f>TEXT(D347,"mmm")</f>
        <v>Jul</v>
      </c>
      <c r="M347" t="str">
        <f>TEXT(D347,"ddd")</f>
        <v>Mon</v>
      </c>
      <c r="N347">
        <f>DATEDIF(D347, E347, "d")</f>
        <v>10</v>
      </c>
      <c r="O347">
        <f>ROUND(Table1[[#This Row],[Unit Price]]*Table1[[#This Row],[Quantity]]*VLOOKUP(C347,Table2[#All],2,FALSE),0)</f>
        <v>3284</v>
      </c>
      <c r="P347">
        <f>ROUND(F347*G347,0)</f>
        <v>5971</v>
      </c>
      <c r="Q347">
        <f>ROUND((G347*F347)-O347,0)</f>
        <v>2687</v>
      </c>
    </row>
    <row r="348" spans="1:17">
      <c r="A348" t="s">
        <v>535</v>
      </c>
      <c r="B348" t="s">
        <v>30</v>
      </c>
      <c r="C348" t="s">
        <v>49</v>
      </c>
      <c r="D348" s="1">
        <v>45749</v>
      </c>
      <c r="E348" s="1">
        <v>45759</v>
      </c>
      <c r="F348">
        <v>7</v>
      </c>
      <c r="G348">
        <v>356</v>
      </c>
      <c r="H348" t="s">
        <v>13</v>
      </c>
      <c r="I348" t="s">
        <v>548</v>
      </c>
      <c r="J348" t="s">
        <v>18</v>
      </c>
      <c r="K348">
        <f>YEAR(D348)</f>
        <v>2025</v>
      </c>
      <c r="L348" t="str">
        <f>TEXT(D348,"mmm")</f>
        <v>Apr</v>
      </c>
      <c r="M348" t="str">
        <f>TEXT(D348,"ddd")</f>
        <v>Wed</v>
      </c>
      <c r="N348">
        <f>DATEDIF(D348, E348, "d")</f>
        <v>10</v>
      </c>
      <c r="O348">
        <f>ROUND(Table1[[#This Row],[Unit Price]]*Table1[[#This Row],[Quantity]]*VLOOKUP(C348,Table2[#All],2,FALSE),0)</f>
        <v>1744</v>
      </c>
      <c r="P348">
        <f>ROUND(F348*G348,0)</f>
        <v>2492</v>
      </c>
      <c r="Q348">
        <f>ROUND((G348*F348)-O348,0)</f>
        <v>748</v>
      </c>
    </row>
    <row r="349" spans="1:17">
      <c r="A349" t="s">
        <v>274</v>
      </c>
      <c r="B349" t="s">
        <v>11</v>
      </c>
      <c r="C349" t="s">
        <v>12</v>
      </c>
      <c r="D349" s="1">
        <v>45503</v>
      </c>
      <c r="E349" s="1">
        <v>45514</v>
      </c>
      <c r="F349">
        <v>3</v>
      </c>
      <c r="G349">
        <v>872</v>
      </c>
      <c r="H349" t="s">
        <v>13</v>
      </c>
      <c r="I349" t="s">
        <v>32</v>
      </c>
      <c r="J349" t="s">
        <v>28</v>
      </c>
      <c r="K349">
        <f>YEAR(D349)</f>
        <v>2024</v>
      </c>
      <c r="L349" t="str">
        <f>TEXT(D349,"mmm")</f>
        <v>Jul</v>
      </c>
      <c r="M349" t="str">
        <f>TEXT(D349,"ddd")</f>
        <v>Tue</v>
      </c>
      <c r="N349">
        <f>DATEDIF(D349, E349, "d")</f>
        <v>11</v>
      </c>
      <c r="O349">
        <f>ROUND(Table1[[#This Row],[Unit Price]]*Table1[[#This Row],[Quantity]]*VLOOKUP(C349,Table2[#All],2,FALSE),0)</f>
        <v>1962</v>
      </c>
      <c r="P349">
        <f>ROUND(F349*G349,0)</f>
        <v>2616</v>
      </c>
      <c r="Q349">
        <f>ROUND((G349*F349)-O349,0)</f>
        <v>654</v>
      </c>
    </row>
    <row r="350" spans="1:17">
      <c r="A350" t="s">
        <v>157</v>
      </c>
      <c r="B350" t="s">
        <v>20</v>
      </c>
      <c r="C350" t="s">
        <v>51</v>
      </c>
      <c r="D350" s="1">
        <v>45302</v>
      </c>
      <c r="E350" s="1">
        <v>45308</v>
      </c>
      <c r="F350">
        <v>1</v>
      </c>
      <c r="G350">
        <v>815</v>
      </c>
      <c r="H350" t="s">
        <v>13</v>
      </c>
      <c r="I350" t="s">
        <v>546</v>
      </c>
      <c r="J350" t="s">
        <v>14</v>
      </c>
      <c r="K350">
        <f>YEAR(D350)</f>
        <v>2024</v>
      </c>
      <c r="L350" t="str">
        <f>TEXT(D350,"mmm")</f>
        <v>Jan</v>
      </c>
      <c r="M350" t="str">
        <f>TEXT(D350,"ddd")</f>
        <v>Thu</v>
      </c>
      <c r="N350">
        <f>DATEDIF(D350, E350, "d")</f>
        <v>6</v>
      </c>
      <c r="O350">
        <f>ROUND(Table1[[#This Row],[Unit Price]]*Table1[[#This Row],[Quantity]]*VLOOKUP(C350,Table2[#All],2,FALSE),0)</f>
        <v>571</v>
      </c>
      <c r="P350">
        <f>ROUND(F350*G350,0)</f>
        <v>815</v>
      </c>
      <c r="Q350">
        <f>ROUND((G350*F350)-O350,0)</f>
        <v>244</v>
      </c>
    </row>
    <row r="351" spans="1:17">
      <c r="A351" t="s">
        <v>422</v>
      </c>
      <c r="B351" t="s">
        <v>20</v>
      </c>
      <c r="C351" t="s">
        <v>53</v>
      </c>
      <c r="D351" s="1">
        <v>45701</v>
      </c>
      <c r="E351" s="1">
        <v>45715</v>
      </c>
      <c r="F351">
        <v>3</v>
      </c>
      <c r="G351">
        <v>262</v>
      </c>
      <c r="H351" t="s">
        <v>27</v>
      </c>
      <c r="I351" t="s">
        <v>549</v>
      </c>
      <c r="J351" t="s">
        <v>18</v>
      </c>
      <c r="K351">
        <f>YEAR(D351)</f>
        <v>2025</v>
      </c>
      <c r="L351" t="str">
        <f>TEXT(D351,"mmm")</f>
        <v>Feb</v>
      </c>
      <c r="M351" t="str">
        <f>TEXT(D351,"ddd")</f>
        <v>Thu</v>
      </c>
      <c r="N351">
        <f>DATEDIF(D351, E351, "d")</f>
        <v>14</v>
      </c>
      <c r="O351">
        <f>ROUND(Table1[[#This Row],[Unit Price]]*Table1[[#This Row],[Quantity]]*VLOOKUP(C351,Table2[#All],2,FALSE),0)</f>
        <v>550</v>
      </c>
      <c r="P351">
        <f>ROUND(F351*G351,0)</f>
        <v>786</v>
      </c>
      <c r="Q351">
        <f>ROUND((G351*F351)-O351,0)</f>
        <v>236</v>
      </c>
    </row>
    <row r="352" spans="1:17">
      <c r="A352" t="s">
        <v>87</v>
      </c>
      <c r="B352" t="s">
        <v>30</v>
      </c>
      <c r="C352" t="s">
        <v>41</v>
      </c>
      <c r="D352" s="1">
        <v>45641</v>
      </c>
      <c r="E352" s="1">
        <v>45652</v>
      </c>
      <c r="F352">
        <v>4</v>
      </c>
      <c r="G352">
        <v>692</v>
      </c>
      <c r="H352" t="s">
        <v>27</v>
      </c>
      <c r="I352" t="s">
        <v>550</v>
      </c>
      <c r="J352" t="s">
        <v>18</v>
      </c>
      <c r="K352">
        <f>YEAR(D352)</f>
        <v>2024</v>
      </c>
      <c r="L352" t="str">
        <f>TEXT(D352,"mmm")</f>
        <v>Dec</v>
      </c>
      <c r="M352" t="str">
        <f>TEXT(D352,"ddd")</f>
        <v>Sun</v>
      </c>
      <c r="N352">
        <f>DATEDIF(D352, E352, "d")</f>
        <v>11</v>
      </c>
      <c r="O352">
        <f>ROUND(Table1[[#This Row],[Unit Price]]*Table1[[#This Row],[Quantity]]*VLOOKUP(C352,Table2[#All],2,FALSE),0)</f>
        <v>1799</v>
      </c>
      <c r="P352">
        <f>ROUND(F352*G352,0)</f>
        <v>2768</v>
      </c>
      <c r="Q352">
        <f>ROUND((G352*F352)-O352,0)</f>
        <v>969</v>
      </c>
    </row>
    <row r="353" spans="1:17">
      <c r="A353" t="s">
        <v>87</v>
      </c>
      <c r="B353" t="s">
        <v>20</v>
      </c>
      <c r="C353" t="s">
        <v>21</v>
      </c>
      <c r="D353" s="1">
        <v>45756</v>
      </c>
      <c r="E353" s="1">
        <v>45764</v>
      </c>
      <c r="F353">
        <v>1</v>
      </c>
      <c r="G353">
        <v>420</v>
      </c>
      <c r="H353" t="s">
        <v>13</v>
      </c>
      <c r="I353" t="s">
        <v>549</v>
      </c>
      <c r="J353" t="s">
        <v>28</v>
      </c>
      <c r="K353">
        <f>YEAR(D353)</f>
        <v>2025</v>
      </c>
      <c r="L353" t="str">
        <f>TEXT(D353,"mmm")</f>
        <v>Apr</v>
      </c>
      <c r="M353" t="str">
        <f>TEXT(D353,"ddd")</f>
        <v>Wed</v>
      </c>
      <c r="N353">
        <f>DATEDIF(D353, E353, "d")</f>
        <v>8</v>
      </c>
      <c r="O353">
        <f>ROUND(Table1[[#This Row],[Unit Price]]*Table1[[#This Row],[Quantity]]*VLOOKUP(C353,Table2[#All],2,FALSE),0)</f>
        <v>315</v>
      </c>
      <c r="P353">
        <f>ROUND(F353*G353,0)</f>
        <v>420</v>
      </c>
      <c r="Q353">
        <f>ROUND((G353*F353)-O353,0)</f>
        <v>105</v>
      </c>
    </row>
    <row r="354" spans="1:17">
      <c r="A354" t="s">
        <v>329</v>
      </c>
      <c r="B354" t="s">
        <v>16</v>
      </c>
      <c r="C354" t="s">
        <v>55</v>
      </c>
      <c r="D354" s="1">
        <v>45613</v>
      </c>
      <c r="E354" s="1">
        <v>45616</v>
      </c>
      <c r="F354">
        <v>9</v>
      </c>
      <c r="G354">
        <v>795</v>
      </c>
      <c r="H354" t="s">
        <v>27</v>
      </c>
      <c r="I354" t="s">
        <v>549</v>
      </c>
      <c r="J354" t="s">
        <v>45</v>
      </c>
      <c r="K354">
        <f>YEAR(D354)</f>
        <v>2024</v>
      </c>
      <c r="L354" t="str">
        <f>TEXT(D354,"mmm")</f>
        <v>Nov</v>
      </c>
      <c r="M354" t="str">
        <f>TEXT(D354,"ddd")</f>
        <v>Sun</v>
      </c>
      <c r="N354">
        <f>DATEDIF(D354, E354, "d")</f>
        <v>3</v>
      </c>
      <c r="O354">
        <f>ROUND(Table1[[#This Row],[Unit Price]]*Table1[[#This Row],[Quantity]]*VLOOKUP(C354,Table2[#All],2,FALSE),0)</f>
        <v>3935</v>
      </c>
      <c r="P354">
        <f>ROUND(F354*G354,0)</f>
        <v>7155</v>
      </c>
      <c r="Q354">
        <f>ROUND((G354*F354)-O354,0)</f>
        <v>3220</v>
      </c>
    </row>
    <row r="355" spans="1:17">
      <c r="A355" t="s">
        <v>275</v>
      </c>
      <c r="B355" t="s">
        <v>20</v>
      </c>
      <c r="C355" t="s">
        <v>39</v>
      </c>
      <c r="D355" s="1">
        <v>45403</v>
      </c>
      <c r="E355" s="1">
        <v>45410</v>
      </c>
      <c r="F355">
        <v>9</v>
      </c>
      <c r="G355">
        <v>476</v>
      </c>
      <c r="H355" t="s">
        <v>27</v>
      </c>
      <c r="I355" t="s">
        <v>546</v>
      </c>
      <c r="J355" t="s">
        <v>45</v>
      </c>
      <c r="K355">
        <f>YEAR(D355)</f>
        <v>2024</v>
      </c>
      <c r="L355" t="str">
        <f>TEXT(D355,"mmm")</f>
        <v>Apr</v>
      </c>
      <c r="M355" t="str">
        <f>TEXT(D355,"ddd")</f>
        <v>Sun</v>
      </c>
      <c r="N355">
        <f>DATEDIF(D355, E355, "d")</f>
        <v>7</v>
      </c>
      <c r="O355">
        <f>ROUND(Table1[[#This Row],[Unit Price]]*Table1[[#This Row],[Quantity]]*VLOOKUP(C355,Table2[#All],2,FALSE),0)</f>
        <v>2785</v>
      </c>
      <c r="P355">
        <f>ROUND(F355*G355,0)</f>
        <v>4284</v>
      </c>
      <c r="Q355">
        <f>ROUND((G355*F355)-O355,0)</f>
        <v>1499</v>
      </c>
    </row>
    <row r="356" spans="1:17">
      <c r="A356" t="s">
        <v>224</v>
      </c>
      <c r="B356" t="s">
        <v>20</v>
      </c>
      <c r="C356" t="s">
        <v>21</v>
      </c>
      <c r="D356" s="1">
        <v>45354</v>
      </c>
      <c r="E356" s="1">
        <v>45366</v>
      </c>
      <c r="F356">
        <v>5</v>
      </c>
      <c r="G356">
        <v>470</v>
      </c>
      <c r="H356" t="s">
        <v>13</v>
      </c>
      <c r="I356" t="s">
        <v>550</v>
      </c>
      <c r="J356" t="s">
        <v>45</v>
      </c>
      <c r="K356">
        <f>YEAR(D356)</f>
        <v>2024</v>
      </c>
      <c r="L356" t="str">
        <f>TEXT(D356,"mmm")</f>
        <v>Mar</v>
      </c>
      <c r="M356" t="str">
        <f>TEXT(D356,"ddd")</f>
        <v>Sun</v>
      </c>
      <c r="N356">
        <f>DATEDIF(D356, E356, "d")</f>
        <v>12</v>
      </c>
      <c r="O356">
        <f>ROUND(Table1[[#This Row],[Unit Price]]*Table1[[#This Row],[Quantity]]*VLOOKUP(C356,Table2[#All],2,FALSE),0)</f>
        <v>1763</v>
      </c>
      <c r="P356">
        <f>ROUND(F356*G356,0)</f>
        <v>2350</v>
      </c>
      <c r="Q356">
        <f>ROUND((G356*F356)-O356,0)</f>
        <v>587</v>
      </c>
    </row>
    <row r="357" spans="1:17">
      <c r="A357" t="s">
        <v>353</v>
      </c>
      <c r="B357" t="s">
        <v>20</v>
      </c>
      <c r="C357" t="s">
        <v>21</v>
      </c>
      <c r="D357" s="1">
        <v>45665</v>
      </c>
      <c r="E357" s="1">
        <v>45678</v>
      </c>
      <c r="F357">
        <v>1</v>
      </c>
      <c r="G357">
        <v>713</v>
      </c>
      <c r="H357" t="s">
        <v>27</v>
      </c>
      <c r="I357" t="s">
        <v>549</v>
      </c>
      <c r="J357" t="s">
        <v>18</v>
      </c>
      <c r="K357">
        <f>YEAR(D357)</f>
        <v>2025</v>
      </c>
      <c r="L357" t="str">
        <f>TEXT(D357,"mmm")</f>
        <v>Jan</v>
      </c>
      <c r="M357" t="str">
        <f>TEXT(D357,"ddd")</f>
        <v>Wed</v>
      </c>
      <c r="N357">
        <f>DATEDIF(D357, E357, "d")</f>
        <v>13</v>
      </c>
      <c r="O357">
        <f>ROUND(Table1[[#This Row],[Unit Price]]*Table1[[#This Row],[Quantity]]*VLOOKUP(C357,Table2[#All],2,FALSE),0)</f>
        <v>535</v>
      </c>
      <c r="P357">
        <f>ROUND(F357*G357,0)</f>
        <v>713</v>
      </c>
      <c r="Q357">
        <f>ROUND((G357*F357)-O357,0)</f>
        <v>178</v>
      </c>
    </row>
    <row r="358" spans="1:17">
      <c r="A358" t="s">
        <v>47</v>
      </c>
      <c r="B358" t="s">
        <v>11</v>
      </c>
      <c r="C358" t="s">
        <v>12</v>
      </c>
      <c r="D358" s="1">
        <v>45641</v>
      </c>
      <c r="E358" s="1">
        <v>45650</v>
      </c>
      <c r="F358">
        <v>9</v>
      </c>
      <c r="G358">
        <v>778</v>
      </c>
      <c r="H358" t="s">
        <v>13</v>
      </c>
      <c r="I358" t="s">
        <v>546</v>
      </c>
      <c r="J358" t="s">
        <v>28</v>
      </c>
      <c r="K358">
        <f>YEAR(D358)</f>
        <v>2024</v>
      </c>
      <c r="L358" t="str">
        <f>TEXT(D358,"mmm")</f>
        <v>Dec</v>
      </c>
      <c r="M358" t="str">
        <f>TEXT(D358,"ddd")</f>
        <v>Sun</v>
      </c>
      <c r="N358">
        <f>DATEDIF(D358, E358, "d")</f>
        <v>9</v>
      </c>
      <c r="O358">
        <f>ROUND(Table1[[#This Row],[Unit Price]]*Table1[[#This Row],[Quantity]]*VLOOKUP(C358,Table2[#All],2,FALSE),0)</f>
        <v>5252</v>
      </c>
      <c r="P358">
        <f>ROUND(F358*G358,0)</f>
        <v>7002</v>
      </c>
      <c r="Q358">
        <f>ROUND((G358*F358)-O358,0)</f>
        <v>1750</v>
      </c>
    </row>
    <row r="359" spans="1:17">
      <c r="A359" t="s">
        <v>47</v>
      </c>
      <c r="B359" t="s">
        <v>20</v>
      </c>
      <c r="C359" t="s">
        <v>39</v>
      </c>
      <c r="D359" s="1">
        <v>45879</v>
      </c>
      <c r="E359" s="1">
        <v>45882</v>
      </c>
      <c r="F359">
        <v>9</v>
      </c>
      <c r="G359">
        <v>967</v>
      </c>
      <c r="H359" t="s">
        <v>13</v>
      </c>
      <c r="I359" t="s">
        <v>32</v>
      </c>
      <c r="J359" t="s">
        <v>18</v>
      </c>
      <c r="K359">
        <f>YEAR(D359)</f>
        <v>2025</v>
      </c>
      <c r="L359" t="str">
        <f>TEXT(D359,"mmm")</f>
        <v>Aug</v>
      </c>
      <c r="M359" t="str">
        <f>TEXT(D359,"ddd")</f>
        <v>Sun</v>
      </c>
      <c r="N359">
        <f>DATEDIF(D359, E359, "d")</f>
        <v>3</v>
      </c>
      <c r="O359">
        <f>ROUND(Table1[[#This Row],[Unit Price]]*Table1[[#This Row],[Quantity]]*VLOOKUP(C359,Table2[#All],2,FALSE),0)</f>
        <v>5657</v>
      </c>
      <c r="P359">
        <f>ROUND(F359*G359,0)</f>
        <v>8703</v>
      </c>
      <c r="Q359">
        <f>ROUND((G359*F359)-O359,0)</f>
        <v>3046</v>
      </c>
    </row>
    <row r="360" spans="1:17">
      <c r="A360" t="s">
        <v>300</v>
      </c>
      <c r="B360" t="s">
        <v>20</v>
      </c>
      <c r="C360" t="s">
        <v>53</v>
      </c>
      <c r="D360" s="1">
        <v>45434</v>
      </c>
      <c r="E360" s="1">
        <v>45448</v>
      </c>
      <c r="F360">
        <v>2</v>
      </c>
      <c r="G360">
        <v>601</v>
      </c>
      <c r="H360" t="s">
        <v>13</v>
      </c>
      <c r="I360" t="s">
        <v>547</v>
      </c>
      <c r="J360" t="s">
        <v>18</v>
      </c>
      <c r="K360">
        <f>YEAR(D360)</f>
        <v>2024</v>
      </c>
      <c r="L360" t="str">
        <f>TEXT(D360,"mmm")</f>
        <v>May</v>
      </c>
      <c r="M360" t="str">
        <f>TEXT(D360,"ddd")</f>
        <v>Wed</v>
      </c>
      <c r="N360">
        <f>DATEDIF(D360, E360, "d")</f>
        <v>14</v>
      </c>
      <c r="O360">
        <f>ROUND(Table1[[#This Row],[Unit Price]]*Table1[[#This Row],[Quantity]]*VLOOKUP(C360,Table2[#All],2,FALSE),0)</f>
        <v>841</v>
      </c>
      <c r="P360">
        <f>ROUND(F360*G360,0)</f>
        <v>1202</v>
      </c>
      <c r="Q360">
        <f>ROUND((G360*F360)-O360,0)</f>
        <v>361</v>
      </c>
    </row>
    <row r="361" spans="1:17">
      <c r="A361" t="s">
        <v>67</v>
      </c>
      <c r="B361" t="s">
        <v>20</v>
      </c>
      <c r="C361" t="s">
        <v>21</v>
      </c>
      <c r="D361" s="1">
        <v>45540</v>
      </c>
      <c r="E361" s="1">
        <v>45554</v>
      </c>
      <c r="F361">
        <v>8</v>
      </c>
      <c r="G361">
        <v>228</v>
      </c>
      <c r="H361" t="s">
        <v>13</v>
      </c>
      <c r="I361" t="s">
        <v>548</v>
      </c>
      <c r="J361" t="s">
        <v>28</v>
      </c>
      <c r="K361">
        <f>YEAR(D361)</f>
        <v>2024</v>
      </c>
      <c r="L361" t="str">
        <f>TEXT(D361,"mmm")</f>
        <v>Sep</v>
      </c>
      <c r="M361" t="str">
        <f>TEXT(D361,"ddd")</f>
        <v>Thu</v>
      </c>
      <c r="N361">
        <f>DATEDIF(D361, E361, "d")</f>
        <v>14</v>
      </c>
      <c r="O361">
        <f>ROUND(Table1[[#This Row],[Unit Price]]*Table1[[#This Row],[Quantity]]*VLOOKUP(C361,Table2[#All],2,FALSE),0)</f>
        <v>1368</v>
      </c>
      <c r="P361">
        <f>ROUND(F361*G361,0)</f>
        <v>1824</v>
      </c>
      <c r="Q361">
        <f>ROUND((G361*F361)-O361,0)</f>
        <v>456</v>
      </c>
    </row>
    <row r="362" spans="1:17">
      <c r="A362" t="s">
        <v>67</v>
      </c>
      <c r="B362" t="s">
        <v>23</v>
      </c>
      <c r="C362" t="s">
        <v>69</v>
      </c>
      <c r="D362" s="1">
        <v>45669</v>
      </c>
      <c r="E362" s="1">
        <v>45684</v>
      </c>
      <c r="F362">
        <v>10</v>
      </c>
      <c r="G362">
        <v>639</v>
      </c>
      <c r="H362" t="s">
        <v>27</v>
      </c>
      <c r="I362" t="s">
        <v>546</v>
      </c>
      <c r="J362" t="s">
        <v>45</v>
      </c>
      <c r="K362">
        <f>YEAR(D362)</f>
        <v>2025</v>
      </c>
      <c r="L362" t="str">
        <f>TEXT(D362,"mmm")</f>
        <v>Jan</v>
      </c>
      <c r="M362" t="str">
        <f>TEXT(D362,"ddd")</f>
        <v>Sun</v>
      </c>
      <c r="N362">
        <f>DATEDIF(D362, E362, "d")</f>
        <v>15</v>
      </c>
      <c r="O362">
        <f>ROUND(Table1[[#This Row],[Unit Price]]*Table1[[#This Row],[Quantity]]*VLOOKUP(C362,Table2[#All],2,FALSE),0)</f>
        <v>3515</v>
      </c>
      <c r="P362">
        <f>ROUND(F362*G362,0)</f>
        <v>6390</v>
      </c>
      <c r="Q362">
        <f>ROUND((G362*F362)-O362,0)</f>
        <v>2875</v>
      </c>
    </row>
    <row r="363" spans="1:17">
      <c r="A363" t="s">
        <v>515</v>
      </c>
      <c r="B363" t="s">
        <v>23</v>
      </c>
      <c r="C363" t="s">
        <v>37</v>
      </c>
      <c r="D363" s="1">
        <v>45681</v>
      </c>
      <c r="E363" s="1">
        <v>45691</v>
      </c>
      <c r="F363">
        <v>1</v>
      </c>
      <c r="G363">
        <v>909</v>
      </c>
      <c r="H363" t="s">
        <v>27</v>
      </c>
      <c r="I363" t="s">
        <v>32</v>
      </c>
      <c r="J363" t="s">
        <v>14</v>
      </c>
      <c r="K363">
        <f>YEAR(D363)</f>
        <v>2025</v>
      </c>
      <c r="L363" t="str">
        <f>TEXT(D363,"mmm")</f>
        <v>Jan</v>
      </c>
      <c r="M363" t="str">
        <f>TEXT(D363,"ddd")</f>
        <v>Fri</v>
      </c>
      <c r="N363">
        <f>DATEDIF(D363, E363, "d")</f>
        <v>10</v>
      </c>
      <c r="O363">
        <f>ROUND(Table1[[#This Row],[Unit Price]]*Table1[[#This Row],[Quantity]]*VLOOKUP(C363,Table2[#All],2,FALSE),0)</f>
        <v>455</v>
      </c>
      <c r="P363">
        <f>ROUND(F363*G363,0)</f>
        <v>909</v>
      </c>
      <c r="Q363">
        <f>ROUND((G363*F363)-O363,0)</f>
        <v>454</v>
      </c>
    </row>
    <row r="364" spans="1:17">
      <c r="A364" t="s">
        <v>176</v>
      </c>
      <c r="B364" t="s">
        <v>16</v>
      </c>
      <c r="C364" t="s">
        <v>43</v>
      </c>
      <c r="D364" s="1">
        <v>45504</v>
      </c>
      <c r="E364" s="1">
        <v>45507</v>
      </c>
      <c r="F364">
        <v>5</v>
      </c>
      <c r="G364">
        <v>230</v>
      </c>
      <c r="H364" t="s">
        <v>13</v>
      </c>
      <c r="I364" t="s">
        <v>548</v>
      </c>
      <c r="J364" t="s">
        <v>18</v>
      </c>
      <c r="K364">
        <f>YEAR(D364)</f>
        <v>2024</v>
      </c>
      <c r="L364" t="str">
        <f>TEXT(D364,"mmm")</f>
        <v>Jul</v>
      </c>
      <c r="M364" t="str">
        <f>TEXT(D364,"ddd")</f>
        <v>Wed</v>
      </c>
      <c r="N364">
        <f>DATEDIF(D364, E364, "d")</f>
        <v>3</v>
      </c>
      <c r="O364">
        <f>ROUND(Table1[[#This Row],[Unit Price]]*Table1[[#This Row],[Quantity]]*VLOOKUP(C364,Table2[#All],2,FALSE),0)</f>
        <v>690</v>
      </c>
      <c r="P364">
        <f>ROUND(F364*G364,0)</f>
        <v>1150</v>
      </c>
      <c r="Q364">
        <f>ROUND((G364*F364)-O364,0)</f>
        <v>460</v>
      </c>
    </row>
    <row r="365" spans="1:17">
      <c r="A365" t="s">
        <v>345</v>
      </c>
      <c r="B365" t="s">
        <v>11</v>
      </c>
      <c r="C365" t="s">
        <v>12</v>
      </c>
      <c r="D365" s="1">
        <v>45372</v>
      </c>
      <c r="E365" s="1">
        <v>45375</v>
      </c>
      <c r="F365">
        <v>5</v>
      </c>
      <c r="G365">
        <v>856</v>
      </c>
      <c r="H365" t="s">
        <v>13</v>
      </c>
      <c r="I365" t="s">
        <v>551</v>
      </c>
      <c r="J365" t="s">
        <v>18</v>
      </c>
      <c r="K365">
        <f>YEAR(D365)</f>
        <v>2024</v>
      </c>
      <c r="L365" t="str">
        <f>TEXT(D365,"mmm")</f>
        <v>Mar</v>
      </c>
      <c r="M365" t="str">
        <f>TEXT(D365,"ddd")</f>
        <v>Thu</v>
      </c>
      <c r="N365">
        <f>DATEDIF(D365, E365, "d")</f>
        <v>3</v>
      </c>
      <c r="O365">
        <f>ROUND(Table1[[#This Row],[Unit Price]]*Table1[[#This Row],[Quantity]]*VLOOKUP(C365,Table2[#All],2,FALSE),0)</f>
        <v>3210</v>
      </c>
      <c r="P365">
        <f>ROUND(F365*G365,0)</f>
        <v>4280</v>
      </c>
      <c r="Q365">
        <f>ROUND((G365*F365)-O365,0)</f>
        <v>1070</v>
      </c>
    </row>
    <row r="366" spans="1:17">
      <c r="A366" t="s">
        <v>402</v>
      </c>
      <c r="B366" t="s">
        <v>30</v>
      </c>
      <c r="C366" t="s">
        <v>75</v>
      </c>
      <c r="D366" s="1">
        <v>45775</v>
      </c>
      <c r="E366" s="1">
        <v>45780</v>
      </c>
      <c r="F366">
        <v>3</v>
      </c>
      <c r="G366">
        <v>788</v>
      </c>
      <c r="H366" t="s">
        <v>13</v>
      </c>
      <c r="I366" t="s">
        <v>548</v>
      </c>
      <c r="J366" t="s">
        <v>18</v>
      </c>
      <c r="K366">
        <f>YEAR(D366)</f>
        <v>2025</v>
      </c>
      <c r="L366" t="str">
        <f>TEXT(D366,"mmm")</f>
        <v>Apr</v>
      </c>
      <c r="M366" t="str">
        <f>TEXT(D366,"ddd")</f>
        <v>Mon</v>
      </c>
      <c r="N366">
        <f>DATEDIF(D366, E366, "d")</f>
        <v>5</v>
      </c>
      <c r="O366">
        <f>ROUND(Table1[[#This Row],[Unit Price]]*Table1[[#This Row],[Quantity]]*VLOOKUP(C366,Table2[#All],2,FALSE),0)</f>
        <v>1773</v>
      </c>
      <c r="P366">
        <f>ROUND(F366*G366,0)</f>
        <v>2364</v>
      </c>
      <c r="Q366">
        <f>ROUND((G366*F366)-O366,0)</f>
        <v>591</v>
      </c>
    </row>
    <row r="367" spans="1:17">
      <c r="A367" t="s">
        <v>393</v>
      </c>
      <c r="B367" t="s">
        <v>23</v>
      </c>
      <c r="C367" t="s">
        <v>24</v>
      </c>
      <c r="D367" s="1">
        <v>45920</v>
      </c>
      <c r="E367" s="1">
        <v>45921</v>
      </c>
      <c r="F367">
        <v>5</v>
      </c>
      <c r="G367">
        <v>55</v>
      </c>
      <c r="H367" t="s">
        <v>13</v>
      </c>
      <c r="I367" t="s">
        <v>550</v>
      </c>
      <c r="J367" t="s">
        <v>45</v>
      </c>
      <c r="K367">
        <f>YEAR(D367)</f>
        <v>2025</v>
      </c>
      <c r="L367" t="str">
        <f>TEXT(D367,"mmm")</f>
        <v>Sep</v>
      </c>
      <c r="M367" t="str">
        <f>TEXT(D367,"ddd")</f>
        <v>Sat</v>
      </c>
      <c r="N367">
        <f>DATEDIF(D367, E367, "d")</f>
        <v>1</v>
      </c>
      <c r="O367">
        <f>ROUND(Table1[[#This Row],[Unit Price]]*Table1[[#This Row],[Quantity]]*VLOOKUP(C367,Table2[#All],2,FALSE),0)</f>
        <v>151</v>
      </c>
      <c r="P367">
        <f>ROUND(F367*G367,0)</f>
        <v>275</v>
      </c>
      <c r="Q367">
        <f>ROUND((G367*F367)-O367,0)</f>
        <v>124</v>
      </c>
    </row>
    <row r="368" spans="1:17">
      <c r="A368" t="s">
        <v>467</v>
      </c>
      <c r="B368" t="s">
        <v>11</v>
      </c>
      <c r="C368" t="s">
        <v>12</v>
      </c>
      <c r="D368" s="1">
        <v>45694</v>
      </c>
      <c r="E368" s="1">
        <v>45703</v>
      </c>
      <c r="F368">
        <v>3</v>
      </c>
      <c r="G368">
        <v>356</v>
      </c>
      <c r="H368" t="s">
        <v>13</v>
      </c>
      <c r="I368" t="s">
        <v>548</v>
      </c>
      <c r="J368" t="s">
        <v>45</v>
      </c>
      <c r="K368">
        <f>YEAR(D368)</f>
        <v>2025</v>
      </c>
      <c r="L368" t="str">
        <f>TEXT(D368,"mmm")</f>
        <v>Feb</v>
      </c>
      <c r="M368" t="str">
        <f>TEXT(D368,"ddd")</f>
        <v>Thu</v>
      </c>
      <c r="N368">
        <f>DATEDIF(D368, E368, "d")</f>
        <v>9</v>
      </c>
      <c r="O368">
        <f>ROUND(Table1[[#This Row],[Unit Price]]*Table1[[#This Row],[Quantity]]*VLOOKUP(C368,Table2[#All],2,FALSE),0)</f>
        <v>801</v>
      </c>
      <c r="P368">
        <f>ROUND(F368*G368,0)</f>
        <v>1068</v>
      </c>
      <c r="Q368">
        <f>ROUND((G368*F368)-O368,0)</f>
        <v>267</v>
      </c>
    </row>
    <row r="369" spans="1:17">
      <c r="A369" t="s">
        <v>360</v>
      </c>
      <c r="B369" t="s">
        <v>30</v>
      </c>
      <c r="C369" t="s">
        <v>41</v>
      </c>
      <c r="D369" s="1">
        <v>45995</v>
      </c>
      <c r="E369" s="1">
        <v>46004</v>
      </c>
      <c r="F369">
        <v>3</v>
      </c>
      <c r="G369">
        <v>799</v>
      </c>
      <c r="H369" t="s">
        <v>13</v>
      </c>
      <c r="I369" t="s">
        <v>548</v>
      </c>
      <c r="J369" t="s">
        <v>45</v>
      </c>
      <c r="K369">
        <f>YEAR(D369)</f>
        <v>2025</v>
      </c>
      <c r="L369" t="str">
        <f>TEXT(D369,"mmm")</f>
        <v>Dec</v>
      </c>
      <c r="M369" t="str">
        <f>TEXT(D369,"ddd")</f>
        <v>Thu</v>
      </c>
      <c r="N369">
        <f>DATEDIF(D369, E369, "d")</f>
        <v>9</v>
      </c>
      <c r="O369">
        <f>ROUND(Table1[[#This Row],[Unit Price]]*Table1[[#This Row],[Quantity]]*VLOOKUP(C369,Table2[#All],2,FALSE),0)</f>
        <v>1558</v>
      </c>
      <c r="P369">
        <f>ROUND(F369*G369,0)</f>
        <v>2397</v>
      </c>
      <c r="Q369">
        <f>ROUND((G369*F369)-O369,0)</f>
        <v>839</v>
      </c>
    </row>
    <row r="370" spans="1:17">
      <c r="A370" t="s">
        <v>494</v>
      </c>
      <c r="B370" t="s">
        <v>20</v>
      </c>
      <c r="C370" t="s">
        <v>53</v>
      </c>
      <c r="D370" s="1">
        <v>45812</v>
      </c>
      <c r="E370" s="1">
        <v>45818</v>
      </c>
      <c r="F370">
        <v>3</v>
      </c>
      <c r="G370">
        <v>723</v>
      </c>
      <c r="H370" t="s">
        <v>13</v>
      </c>
      <c r="I370" t="s">
        <v>550</v>
      </c>
      <c r="J370" t="s">
        <v>45</v>
      </c>
      <c r="K370">
        <f>YEAR(D370)</f>
        <v>2025</v>
      </c>
      <c r="L370" t="str">
        <f>TEXT(D370,"mmm")</f>
        <v>Jun</v>
      </c>
      <c r="M370" t="str">
        <f>TEXT(D370,"ddd")</f>
        <v>Wed</v>
      </c>
      <c r="N370">
        <f>DATEDIF(D370, E370, "d")</f>
        <v>6</v>
      </c>
      <c r="O370">
        <f>ROUND(Table1[[#This Row],[Unit Price]]*Table1[[#This Row],[Quantity]]*VLOOKUP(C370,Table2[#All],2,FALSE),0)</f>
        <v>1518</v>
      </c>
      <c r="P370">
        <f>ROUND(F370*G370,0)</f>
        <v>2169</v>
      </c>
      <c r="Q370">
        <f>ROUND((G370*F370)-O370,0)</f>
        <v>651</v>
      </c>
    </row>
    <row r="371" spans="1:17">
      <c r="A371" t="s">
        <v>25</v>
      </c>
      <c r="B371" t="s">
        <v>11</v>
      </c>
      <c r="C371" t="s">
        <v>26</v>
      </c>
      <c r="D371" s="1">
        <v>45566</v>
      </c>
      <c r="E371" s="1">
        <v>45582</v>
      </c>
      <c r="F371">
        <v>2</v>
      </c>
      <c r="G371">
        <v>954</v>
      </c>
      <c r="H371" t="s">
        <v>27</v>
      </c>
      <c r="I371" t="s">
        <v>549</v>
      </c>
      <c r="J371" t="s">
        <v>28</v>
      </c>
      <c r="K371">
        <f>YEAR(D371)</f>
        <v>2024</v>
      </c>
      <c r="L371" t="str">
        <f>TEXT(D371,"mmm")</f>
        <v>Oct</v>
      </c>
      <c r="M371" t="str">
        <f>TEXT(D371,"ddd")</f>
        <v>Tue</v>
      </c>
      <c r="N371">
        <f>DATEDIF(D371, E371, "d")</f>
        <v>16</v>
      </c>
      <c r="O371">
        <f>ROUND(Table1[[#This Row],[Unit Price]]*Table1[[#This Row],[Quantity]]*VLOOKUP(C371,Table2[#All],2,FALSE),0)</f>
        <v>1240</v>
      </c>
      <c r="P371">
        <f>ROUND(F371*G371,0)</f>
        <v>1908</v>
      </c>
      <c r="Q371">
        <f>ROUND((G371*F371)-O371,0)</f>
        <v>668</v>
      </c>
    </row>
    <row r="372" spans="1:17">
      <c r="A372" t="s">
        <v>77</v>
      </c>
      <c r="B372" t="s">
        <v>30</v>
      </c>
      <c r="C372" t="s">
        <v>78</v>
      </c>
      <c r="D372" s="1">
        <v>45372</v>
      </c>
      <c r="E372" s="1">
        <v>45386</v>
      </c>
      <c r="F372">
        <v>8</v>
      </c>
      <c r="G372">
        <v>863</v>
      </c>
      <c r="H372" t="s">
        <v>27</v>
      </c>
      <c r="I372" t="s">
        <v>32</v>
      </c>
      <c r="J372" t="s">
        <v>45</v>
      </c>
      <c r="K372">
        <f>YEAR(D372)</f>
        <v>2024</v>
      </c>
      <c r="L372" t="str">
        <f>TEXT(D372,"mmm")</f>
        <v>Mar</v>
      </c>
      <c r="M372" t="str">
        <f>TEXT(D372,"ddd")</f>
        <v>Thu</v>
      </c>
      <c r="N372">
        <f>DATEDIF(D372, E372, "d")</f>
        <v>14</v>
      </c>
      <c r="O372">
        <f>ROUND(Table1[[#This Row],[Unit Price]]*Table1[[#This Row],[Quantity]]*VLOOKUP(C372,Table2[#All],2,FALSE),0)</f>
        <v>4488</v>
      </c>
      <c r="P372">
        <f>ROUND(F372*G372,0)</f>
        <v>6904</v>
      </c>
      <c r="Q372">
        <f>ROUND((G372*F372)-O372,0)</f>
        <v>2416</v>
      </c>
    </row>
    <row r="373" spans="1:17">
      <c r="A373" t="s">
        <v>77</v>
      </c>
      <c r="B373" t="s">
        <v>20</v>
      </c>
      <c r="C373" t="s">
        <v>82</v>
      </c>
      <c r="D373" s="1">
        <v>45972</v>
      </c>
      <c r="E373" s="1">
        <v>45987</v>
      </c>
      <c r="F373">
        <v>6</v>
      </c>
      <c r="G373">
        <v>250</v>
      </c>
      <c r="H373" t="s">
        <v>27</v>
      </c>
      <c r="I373" t="s">
        <v>549</v>
      </c>
      <c r="J373" t="s">
        <v>28</v>
      </c>
      <c r="K373">
        <f>YEAR(D373)</f>
        <v>2025</v>
      </c>
      <c r="L373" t="str">
        <f>TEXT(D373,"mmm")</f>
        <v>Nov</v>
      </c>
      <c r="M373" t="str">
        <f>TEXT(D373,"ddd")</f>
        <v>Tue</v>
      </c>
      <c r="N373">
        <f>DATEDIF(D373, E373, "d")</f>
        <v>15</v>
      </c>
      <c r="O373">
        <f>ROUND(Table1[[#This Row],[Unit Price]]*Table1[[#This Row],[Quantity]]*VLOOKUP(C373,Table2[#All],2,FALSE),0)</f>
        <v>1200</v>
      </c>
      <c r="P373">
        <f>ROUND(F373*G373,0)</f>
        <v>1500</v>
      </c>
      <c r="Q373">
        <f>ROUND((G373*F373)-O373,0)</f>
        <v>300</v>
      </c>
    </row>
    <row r="374" spans="1:17">
      <c r="A374" t="s">
        <v>233</v>
      </c>
      <c r="B374" t="s">
        <v>11</v>
      </c>
      <c r="C374" t="s">
        <v>57</v>
      </c>
      <c r="D374" s="1">
        <v>45557</v>
      </c>
      <c r="E374" s="1">
        <v>45572</v>
      </c>
      <c r="F374">
        <v>4</v>
      </c>
      <c r="G374">
        <v>584</v>
      </c>
      <c r="H374" t="s">
        <v>27</v>
      </c>
      <c r="I374" t="s">
        <v>546</v>
      </c>
      <c r="J374" t="s">
        <v>14</v>
      </c>
      <c r="K374">
        <f>YEAR(D374)</f>
        <v>2024</v>
      </c>
      <c r="L374" t="str">
        <f>TEXT(D374,"mmm")</f>
        <v>Sep</v>
      </c>
      <c r="M374" t="str">
        <f>TEXT(D374,"ddd")</f>
        <v>Sun</v>
      </c>
      <c r="N374">
        <f>DATEDIF(D374, E374, "d")</f>
        <v>15</v>
      </c>
      <c r="O374">
        <f>ROUND(Table1[[#This Row],[Unit Price]]*Table1[[#This Row],[Quantity]]*VLOOKUP(C374,Table2[#All],2,FALSE),0)</f>
        <v>1986</v>
      </c>
      <c r="P374">
        <f>ROUND(F374*G374,0)</f>
        <v>2336</v>
      </c>
      <c r="Q374">
        <f>ROUND((G374*F374)-O374,0)</f>
        <v>350</v>
      </c>
    </row>
    <row r="375" spans="1:17">
      <c r="A375" t="s">
        <v>495</v>
      </c>
      <c r="B375" t="s">
        <v>30</v>
      </c>
      <c r="C375" t="s">
        <v>31</v>
      </c>
      <c r="D375" s="1">
        <v>45762</v>
      </c>
      <c r="E375" s="1">
        <v>45766</v>
      </c>
      <c r="F375">
        <v>2</v>
      </c>
      <c r="G375">
        <v>919</v>
      </c>
      <c r="H375" t="s">
        <v>13</v>
      </c>
      <c r="I375" t="s">
        <v>550</v>
      </c>
      <c r="J375" t="s">
        <v>18</v>
      </c>
      <c r="K375">
        <f>YEAR(D375)</f>
        <v>2025</v>
      </c>
      <c r="L375" t="str">
        <f>TEXT(D375,"mmm")</f>
        <v>Apr</v>
      </c>
      <c r="M375" t="str">
        <f>TEXT(D375,"ddd")</f>
        <v>Tue</v>
      </c>
      <c r="N375">
        <f>DATEDIF(D375, E375, "d")</f>
        <v>4</v>
      </c>
      <c r="O375">
        <f>ROUND(Table1[[#This Row],[Unit Price]]*Table1[[#This Row],[Quantity]]*VLOOKUP(C375,Table2[#All],2,FALSE),0)</f>
        <v>1379</v>
      </c>
      <c r="P375">
        <f>ROUND(F375*G375,0)</f>
        <v>1838</v>
      </c>
      <c r="Q375">
        <f>ROUND((G375*F375)-O375,0)</f>
        <v>459</v>
      </c>
    </row>
    <row r="376" spans="1:17">
      <c r="A376" t="s">
        <v>428</v>
      </c>
      <c r="B376" t="s">
        <v>11</v>
      </c>
      <c r="C376" t="s">
        <v>57</v>
      </c>
      <c r="D376" s="1">
        <v>45764</v>
      </c>
      <c r="E376" s="1">
        <v>45769</v>
      </c>
      <c r="F376">
        <v>9</v>
      </c>
      <c r="G376">
        <v>860</v>
      </c>
      <c r="H376" t="s">
        <v>13</v>
      </c>
      <c r="I376" t="s">
        <v>546</v>
      </c>
      <c r="J376" t="s">
        <v>45</v>
      </c>
      <c r="K376">
        <f>YEAR(D376)</f>
        <v>2025</v>
      </c>
      <c r="L376" t="str">
        <f>TEXT(D376,"mmm")</f>
        <v>Apr</v>
      </c>
      <c r="M376" t="str">
        <f>TEXT(D376,"ddd")</f>
        <v>Thu</v>
      </c>
      <c r="N376">
        <f>DATEDIF(D376, E376, "d")</f>
        <v>5</v>
      </c>
      <c r="O376">
        <f>ROUND(Table1[[#This Row],[Unit Price]]*Table1[[#This Row],[Quantity]]*VLOOKUP(C376,Table2[#All],2,FALSE),0)</f>
        <v>6579</v>
      </c>
      <c r="P376">
        <f>ROUND(F376*G376,0)</f>
        <v>7740</v>
      </c>
      <c r="Q376">
        <f>ROUND((G376*F376)-O376,0)</f>
        <v>1161</v>
      </c>
    </row>
    <row r="377" spans="1:17">
      <c r="A377" t="s">
        <v>60</v>
      </c>
      <c r="B377" t="s">
        <v>30</v>
      </c>
      <c r="C377" t="s">
        <v>49</v>
      </c>
      <c r="D377" s="1">
        <v>45635</v>
      </c>
      <c r="E377" s="1">
        <v>45638</v>
      </c>
      <c r="F377">
        <v>6</v>
      </c>
      <c r="G377">
        <v>458</v>
      </c>
      <c r="H377" t="s">
        <v>13</v>
      </c>
      <c r="I377" t="s">
        <v>32</v>
      </c>
      <c r="J377" t="s">
        <v>18</v>
      </c>
      <c r="K377">
        <f>YEAR(D377)</f>
        <v>2024</v>
      </c>
      <c r="L377" t="str">
        <f>TEXT(D377,"mmm")</f>
        <v>Dec</v>
      </c>
      <c r="M377" t="str">
        <f>TEXT(D377,"ddd")</f>
        <v>Mon</v>
      </c>
      <c r="N377">
        <f>DATEDIF(D377, E377, "d")</f>
        <v>3</v>
      </c>
      <c r="O377">
        <f>ROUND(Table1[[#This Row],[Unit Price]]*Table1[[#This Row],[Quantity]]*VLOOKUP(C377,Table2[#All],2,FALSE),0)</f>
        <v>1924</v>
      </c>
      <c r="P377">
        <f>ROUND(F377*G377,0)</f>
        <v>2748</v>
      </c>
      <c r="Q377">
        <f>ROUND((G377*F377)-O377,0)</f>
        <v>824</v>
      </c>
    </row>
    <row r="378" spans="1:17">
      <c r="A378" t="s">
        <v>60</v>
      </c>
      <c r="B378" t="s">
        <v>23</v>
      </c>
      <c r="C378" t="s">
        <v>24</v>
      </c>
      <c r="D378" s="1">
        <v>45741</v>
      </c>
      <c r="E378" s="1">
        <v>45745</v>
      </c>
      <c r="F378">
        <v>4</v>
      </c>
      <c r="G378">
        <v>247</v>
      </c>
      <c r="H378" t="s">
        <v>13</v>
      </c>
      <c r="I378" t="s">
        <v>32</v>
      </c>
      <c r="J378" t="s">
        <v>45</v>
      </c>
      <c r="K378">
        <f>YEAR(D378)</f>
        <v>2025</v>
      </c>
      <c r="L378" t="str">
        <f>TEXT(D378,"mmm")</f>
        <v>Mar</v>
      </c>
      <c r="M378" t="str">
        <f>TEXT(D378,"ddd")</f>
        <v>Tue</v>
      </c>
      <c r="N378">
        <f>DATEDIF(D378, E378, "d")</f>
        <v>4</v>
      </c>
      <c r="O378">
        <f>ROUND(Table1[[#This Row],[Unit Price]]*Table1[[#This Row],[Quantity]]*VLOOKUP(C378,Table2[#All],2,FALSE),0)</f>
        <v>543</v>
      </c>
      <c r="P378">
        <f>ROUND(F378*G378,0)</f>
        <v>988</v>
      </c>
      <c r="Q378">
        <f>ROUND((G378*F378)-O378,0)</f>
        <v>445</v>
      </c>
    </row>
    <row r="379" spans="1:17">
      <c r="A379" t="s">
        <v>292</v>
      </c>
      <c r="B379" t="s">
        <v>11</v>
      </c>
      <c r="C379" t="s">
        <v>35</v>
      </c>
      <c r="D379" s="1">
        <v>45394</v>
      </c>
      <c r="E379" s="1">
        <v>45403</v>
      </c>
      <c r="F379">
        <v>10</v>
      </c>
      <c r="G379">
        <v>568</v>
      </c>
      <c r="H379" t="s">
        <v>13</v>
      </c>
      <c r="I379" t="s">
        <v>547</v>
      </c>
      <c r="J379" t="s">
        <v>45</v>
      </c>
      <c r="K379">
        <f>YEAR(D379)</f>
        <v>2024</v>
      </c>
      <c r="L379" t="str">
        <f>TEXT(D379,"mmm")</f>
        <v>Apr</v>
      </c>
      <c r="M379" t="str">
        <f>TEXT(D379,"ddd")</f>
        <v>Fri</v>
      </c>
      <c r="N379">
        <f>DATEDIF(D379, E379, "d")</f>
        <v>9</v>
      </c>
      <c r="O379">
        <f>ROUND(Table1[[#This Row],[Unit Price]]*Table1[[#This Row],[Quantity]]*VLOOKUP(C379,Table2[#All],2,FALSE),0)</f>
        <v>4544</v>
      </c>
      <c r="P379">
        <f>ROUND(F379*G379,0)</f>
        <v>5680</v>
      </c>
      <c r="Q379">
        <f>ROUND((G379*F379)-O379,0)</f>
        <v>1136</v>
      </c>
    </row>
    <row r="380" spans="1:17">
      <c r="A380" t="s">
        <v>383</v>
      </c>
      <c r="B380" t="s">
        <v>16</v>
      </c>
      <c r="C380" t="s">
        <v>63</v>
      </c>
      <c r="D380" s="1">
        <v>45775</v>
      </c>
      <c r="E380" s="1">
        <v>45778</v>
      </c>
      <c r="F380">
        <v>10</v>
      </c>
      <c r="G380">
        <v>678</v>
      </c>
      <c r="H380" t="s">
        <v>13</v>
      </c>
      <c r="I380" t="s">
        <v>549</v>
      </c>
      <c r="J380" t="s">
        <v>45</v>
      </c>
      <c r="K380">
        <f>YEAR(D380)</f>
        <v>2025</v>
      </c>
      <c r="L380" t="str">
        <f>TEXT(D380,"mmm")</f>
        <v>Apr</v>
      </c>
      <c r="M380" t="str">
        <f>TEXT(D380,"ddd")</f>
        <v>Mon</v>
      </c>
      <c r="N380">
        <f>DATEDIF(D380, E380, "d")</f>
        <v>3</v>
      </c>
      <c r="O380">
        <f>ROUND(Table1[[#This Row],[Unit Price]]*Table1[[#This Row],[Quantity]]*VLOOKUP(C380,Table2[#All],2,FALSE),0)</f>
        <v>3390</v>
      </c>
      <c r="P380">
        <f>ROUND(F380*G380,0)</f>
        <v>6780</v>
      </c>
      <c r="Q380">
        <f>ROUND((G380*F380)-O380,0)</f>
        <v>3390</v>
      </c>
    </row>
    <row r="381" spans="1:17">
      <c r="A381" t="s">
        <v>449</v>
      </c>
      <c r="B381" t="s">
        <v>23</v>
      </c>
      <c r="C381" t="s">
        <v>37</v>
      </c>
      <c r="D381" s="1">
        <v>45782</v>
      </c>
      <c r="E381" s="1">
        <v>45785</v>
      </c>
      <c r="F381">
        <v>2</v>
      </c>
      <c r="G381">
        <v>874</v>
      </c>
      <c r="H381" t="s">
        <v>13</v>
      </c>
      <c r="I381" t="s">
        <v>550</v>
      </c>
      <c r="J381" t="s">
        <v>28</v>
      </c>
      <c r="K381">
        <f>YEAR(D381)</f>
        <v>2025</v>
      </c>
      <c r="L381" t="str">
        <f>TEXT(D381,"mmm")</f>
        <v>May</v>
      </c>
      <c r="M381" t="str">
        <f>TEXT(D381,"ddd")</f>
        <v>Mon</v>
      </c>
      <c r="N381">
        <f>DATEDIF(D381, E381, "d")</f>
        <v>3</v>
      </c>
      <c r="O381">
        <f>ROUND(Table1[[#This Row],[Unit Price]]*Table1[[#This Row],[Quantity]]*VLOOKUP(C381,Table2[#All],2,FALSE),0)</f>
        <v>874</v>
      </c>
      <c r="P381">
        <f>ROUND(F381*G381,0)</f>
        <v>1748</v>
      </c>
      <c r="Q381">
        <f>ROUND((G381*F381)-O381,0)</f>
        <v>874</v>
      </c>
    </row>
    <row r="382" spans="1:17">
      <c r="A382" t="s">
        <v>277</v>
      </c>
      <c r="B382" t="s">
        <v>11</v>
      </c>
      <c r="C382" t="s">
        <v>35</v>
      </c>
      <c r="D382" s="1">
        <v>45649</v>
      </c>
      <c r="E382" s="1">
        <v>45662</v>
      </c>
      <c r="F382">
        <v>7</v>
      </c>
      <c r="G382">
        <v>835</v>
      </c>
      <c r="H382" t="s">
        <v>13</v>
      </c>
      <c r="I382" t="s">
        <v>550</v>
      </c>
      <c r="J382" t="s">
        <v>45</v>
      </c>
      <c r="K382">
        <f>YEAR(D382)</f>
        <v>2024</v>
      </c>
      <c r="L382" t="str">
        <f>TEXT(D382,"mmm")</f>
        <v>Dec</v>
      </c>
      <c r="M382" t="str">
        <f>TEXT(D382,"ddd")</f>
        <v>Mon</v>
      </c>
      <c r="N382">
        <f>DATEDIF(D382, E382, "d")</f>
        <v>13</v>
      </c>
      <c r="O382">
        <f>ROUND(Table1[[#This Row],[Unit Price]]*Table1[[#This Row],[Quantity]]*VLOOKUP(C382,Table2[#All],2,FALSE),0)</f>
        <v>4676</v>
      </c>
      <c r="P382">
        <f>ROUND(F382*G382,0)</f>
        <v>5845</v>
      </c>
      <c r="Q382">
        <f>ROUND((G382*F382)-O382,0)</f>
        <v>1169</v>
      </c>
    </row>
    <row r="383" spans="1:17">
      <c r="A383" t="s">
        <v>190</v>
      </c>
      <c r="B383" t="s">
        <v>23</v>
      </c>
      <c r="C383" t="s">
        <v>114</v>
      </c>
      <c r="D383" s="1">
        <v>45467</v>
      </c>
      <c r="E383" s="1">
        <v>45476</v>
      </c>
      <c r="F383">
        <v>2</v>
      </c>
      <c r="G383">
        <v>526</v>
      </c>
      <c r="H383" t="s">
        <v>13</v>
      </c>
      <c r="I383" t="s">
        <v>32</v>
      </c>
      <c r="J383" t="s">
        <v>28</v>
      </c>
      <c r="K383">
        <f>YEAR(D383)</f>
        <v>2024</v>
      </c>
      <c r="L383" t="str">
        <f>TEXT(D383,"mmm")</f>
        <v>Jun</v>
      </c>
      <c r="M383" t="str">
        <f>TEXT(D383,"ddd")</f>
        <v>Mon</v>
      </c>
      <c r="N383">
        <f>DATEDIF(D383, E383, "d")</f>
        <v>9</v>
      </c>
      <c r="O383">
        <f>ROUND(Table1[[#This Row],[Unit Price]]*Table1[[#This Row],[Quantity]]*VLOOKUP(C383,Table2[#All],2,FALSE),0)</f>
        <v>631</v>
      </c>
      <c r="P383">
        <f>ROUND(F383*G383,0)</f>
        <v>1052</v>
      </c>
      <c r="Q383">
        <f>ROUND((G383*F383)-O383,0)</f>
        <v>421</v>
      </c>
    </row>
    <row r="384" spans="1:17">
      <c r="A384" t="s">
        <v>76</v>
      </c>
      <c r="B384" t="s">
        <v>16</v>
      </c>
      <c r="C384" t="s">
        <v>63</v>
      </c>
      <c r="D384" s="1">
        <v>45551</v>
      </c>
      <c r="E384" s="1">
        <v>45556</v>
      </c>
      <c r="F384">
        <v>5</v>
      </c>
      <c r="G384">
        <v>496</v>
      </c>
      <c r="H384" t="s">
        <v>13</v>
      </c>
      <c r="I384" t="s">
        <v>546</v>
      </c>
      <c r="J384" t="s">
        <v>14</v>
      </c>
      <c r="K384">
        <f>YEAR(D384)</f>
        <v>2024</v>
      </c>
      <c r="L384" t="str">
        <f>TEXT(D384,"mmm")</f>
        <v>Sep</v>
      </c>
      <c r="M384" t="str">
        <f>TEXT(D384,"ddd")</f>
        <v>Mon</v>
      </c>
      <c r="N384">
        <f>DATEDIF(D384, E384, "d")</f>
        <v>5</v>
      </c>
      <c r="O384">
        <f>ROUND(Table1[[#This Row],[Unit Price]]*Table1[[#This Row],[Quantity]]*VLOOKUP(C384,Table2[#All],2,FALSE),0)</f>
        <v>1240</v>
      </c>
      <c r="P384">
        <f>ROUND(F384*G384,0)</f>
        <v>2480</v>
      </c>
      <c r="Q384">
        <f>ROUND((G384*F384)-O384,0)</f>
        <v>1240</v>
      </c>
    </row>
    <row r="385" spans="1:17">
      <c r="A385" t="s">
        <v>76</v>
      </c>
      <c r="B385" t="s">
        <v>20</v>
      </c>
      <c r="C385" t="s">
        <v>53</v>
      </c>
      <c r="D385" s="1">
        <v>45967</v>
      </c>
      <c r="E385" s="1">
        <v>45973</v>
      </c>
      <c r="F385">
        <v>7</v>
      </c>
      <c r="G385">
        <v>568</v>
      </c>
      <c r="H385" t="s">
        <v>27</v>
      </c>
      <c r="I385" t="s">
        <v>546</v>
      </c>
      <c r="J385" t="s">
        <v>45</v>
      </c>
      <c r="K385">
        <f>YEAR(D385)</f>
        <v>2025</v>
      </c>
      <c r="L385" t="str">
        <f>TEXT(D385,"mmm")</f>
        <v>Nov</v>
      </c>
      <c r="M385" t="str">
        <f>TEXT(D385,"ddd")</f>
        <v>Thu</v>
      </c>
      <c r="N385">
        <f>DATEDIF(D385, E385, "d")</f>
        <v>6</v>
      </c>
      <c r="O385">
        <f>ROUND(Table1[[#This Row],[Unit Price]]*Table1[[#This Row],[Quantity]]*VLOOKUP(C385,Table2[#All],2,FALSE),0)</f>
        <v>2783</v>
      </c>
      <c r="P385">
        <f>ROUND(F385*G385,0)</f>
        <v>3976</v>
      </c>
      <c r="Q385">
        <f>ROUND((G385*F385)-O385,0)</f>
        <v>1193</v>
      </c>
    </row>
    <row r="386" spans="1:17">
      <c r="A386" t="s">
        <v>184</v>
      </c>
      <c r="B386" t="s">
        <v>11</v>
      </c>
      <c r="C386" t="s">
        <v>57</v>
      </c>
      <c r="D386" s="1">
        <v>45613</v>
      </c>
      <c r="E386" s="1">
        <v>45623</v>
      </c>
      <c r="F386">
        <v>8</v>
      </c>
      <c r="G386">
        <v>485</v>
      </c>
      <c r="H386" t="s">
        <v>27</v>
      </c>
      <c r="I386" t="s">
        <v>548</v>
      </c>
      <c r="J386" t="s">
        <v>45</v>
      </c>
      <c r="K386">
        <f>YEAR(D386)</f>
        <v>2024</v>
      </c>
      <c r="L386" t="str">
        <f>TEXT(D386,"mmm")</f>
        <v>Nov</v>
      </c>
      <c r="M386" t="str">
        <f>TEXT(D386,"ddd")</f>
        <v>Sun</v>
      </c>
      <c r="N386">
        <f>DATEDIF(D386, E386, "d")</f>
        <v>10</v>
      </c>
      <c r="O386">
        <f>ROUND(Table1[[#This Row],[Unit Price]]*Table1[[#This Row],[Quantity]]*VLOOKUP(C386,Table2[#All],2,FALSE),0)</f>
        <v>3298</v>
      </c>
      <c r="P386">
        <f>ROUND(F386*G386,0)</f>
        <v>3880</v>
      </c>
      <c r="Q386">
        <f>ROUND((G386*F386)-O386,0)</f>
        <v>582</v>
      </c>
    </row>
    <row r="387" spans="1:17">
      <c r="A387" t="s">
        <v>121</v>
      </c>
      <c r="B387" t="s">
        <v>16</v>
      </c>
      <c r="C387" t="s">
        <v>63</v>
      </c>
      <c r="D387" s="1">
        <v>45432</v>
      </c>
      <c r="E387" s="1">
        <v>45438</v>
      </c>
      <c r="F387">
        <v>1</v>
      </c>
      <c r="G387">
        <v>65</v>
      </c>
      <c r="H387" t="s">
        <v>27</v>
      </c>
      <c r="I387" t="s">
        <v>32</v>
      </c>
      <c r="J387" t="s">
        <v>28</v>
      </c>
      <c r="K387">
        <f>YEAR(D387)</f>
        <v>2024</v>
      </c>
      <c r="L387" t="str">
        <f>TEXT(D387,"mmm")</f>
        <v>May</v>
      </c>
      <c r="M387" t="str">
        <f>TEXT(D387,"ddd")</f>
        <v>Mon</v>
      </c>
      <c r="N387">
        <f>DATEDIF(D387, E387, "d")</f>
        <v>6</v>
      </c>
      <c r="O387">
        <f>ROUND(Table1[[#This Row],[Unit Price]]*Table1[[#This Row],[Quantity]]*VLOOKUP(C387,Table2[#All],2,FALSE),0)</f>
        <v>33</v>
      </c>
      <c r="P387">
        <f>ROUND(F387*G387,0)</f>
        <v>65</v>
      </c>
      <c r="Q387">
        <f>ROUND((G387*F387)-O387,0)</f>
        <v>32</v>
      </c>
    </row>
    <row r="388" spans="1:17">
      <c r="A388" t="s">
        <v>133</v>
      </c>
      <c r="B388" t="s">
        <v>23</v>
      </c>
      <c r="C388" t="s">
        <v>24</v>
      </c>
      <c r="D388" s="1">
        <v>45501</v>
      </c>
      <c r="E388" s="1">
        <v>45505</v>
      </c>
      <c r="F388">
        <v>6</v>
      </c>
      <c r="G388">
        <v>338</v>
      </c>
      <c r="H388" t="s">
        <v>13</v>
      </c>
      <c r="I388" t="s">
        <v>32</v>
      </c>
      <c r="J388" t="s">
        <v>14</v>
      </c>
      <c r="K388">
        <f>YEAR(D388)</f>
        <v>2024</v>
      </c>
      <c r="L388" t="str">
        <f>TEXT(D388,"mmm")</f>
        <v>Jul</v>
      </c>
      <c r="M388" t="str">
        <f>TEXT(D388,"ddd")</f>
        <v>Sun</v>
      </c>
      <c r="N388">
        <f>DATEDIF(D388, E388, "d")</f>
        <v>4</v>
      </c>
      <c r="O388">
        <f>ROUND(Table1[[#This Row],[Unit Price]]*Table1[[#This Row],[Quantity]]*VLOOKUP(C388,Table2[#All],2,FALSE),0)</f>
        <v>1115</v>
      </c>
      <c r="P388">
        <f>ROUND(F388*G388,0)</f>
        <v>2028</v>
      </c>
      <c r="Q388">
        <f>ROUND((G388*F388)-O388,0)</f>
        <v>913</v>
      </c>
    </row>
    <row r="389" spans="1:17">
      <c r="A389" t="s">
        <v>92</v>
      </c>
      <c r="B389" t="s">
        <v>23</v>
      </c>
      <c r="C389" t="s">
        <v>24</v>
      </c>
      <c r="D389" s="1">
        <v>45575</v>
      </c>
      <c r="E389" s="1">
        <v>45578</v>
      </c>
      <c r="F389">
        <v>3</v>
      </c>
      <c r="G389">
        <v>206</v>
      </c>
      <c r="H389" t="s">
        <v>27</v>
      </c>
      <c r="I389" t="s">
        <v>549</v>
      </c>
      <c r="J389" t="s">
        <v>18</v>
      </c>
      <c r="K389">
        <f>YEAR(D389)</f>
        <v>2024</v>
      </c>
      <c r="L389" t="str">
        <f>TEXT(D389,"mmm")</f>
        <v>Oct</v>
      </c>
      <c r="M389" t="str">
        <f>TEXT(D389,"ddd")</f>
        <v>Thu</v>
      </c>
      <c r="N389">
        <f>DATEDIF(D389, E389, "d")</f>
        <v>3</v>
      </c>
      <c r="O389">
        <f>ROUND(Table1[[#This Row],[Unit Price]]*Table1[[#This Row],[Quantity]]*VLOOKUP(C389,Table2[#All],2,FALSE),0)</f>
        <v>340</v>
      </c>
      <c r="P389">
        <f>ROUND(F389*G389,0)</f>
        <v>618</v>
      </c>
      <c r="Q389">
        <f>ROUND((G389*F389)-O389,0)</f>
        <v>278</v>
      </c>
    </row>
    <row r="390" spans="1:17">
      <c r="A390" t="s">
        <v>92</v>
      </c>
      <c r="B390" t="s">
        <v>11</v>
      </c>
      <c r="C390" t="s">
        <v>57</v>
      </c>
      <c r="D390" s="1">
        <v>45935</v>
      </c>
      <c r="E390" s="1">
        <v>45949</v>
      </c>
      <c r="F390">
        <v>5</v>
      </c>
      <c r="G390">
        <v>163</v>
      </c>
      <c r="H390" t="s">
        <v>27</v>
      </c>
      <c r="I390" t="s">
        <v>549</v>
      </c>
      <c r="J390" t="s">
        <v>14</v>
      </c>
      <c r="K390">
        <f>YEAR(D390)</f>
        <v>2025</v>
      </c>
      <c r="L390" t="str">
        <f>TEXT(D390,"mmm")</f>
        <v>Oct</v>
      </c>
      <c r="M390" t="str">
        <f>TEXT(D390,"ddd")</f>
        <v>Sun</v>
      </c>
      <c r="N390">
        <f>DATEDIF(D390, E390, "d")</f>
        <v>14</v>
      </c>
      <c r="O390">
        <f>ROUND(Table1[[#This Row],[Unit Price]]*Table1[[#This Row],[Quantity]]*VLOOKUP(C390,Table2[#All],2,FALSE),0)</f>
        <v>693</v>
      </c>
      <c r="P390">
        <f>ROUND(F390*G390,0)</f>
        <v>815</v>
      </c>
      <c r="Q390">
        <f>ROUND((G390*F390)-O390,0)</f>
        <v>122</v>
      </c>
    </row>
    <row r="391" spans="1:17">
      <c r="A391" t="s">
        <v>514</v>
      </c>
      <c r="B391" t="s">
        <v>20</v>
      </c>
      <c r="C391" t="s">
        <v>82</v>
      </c>
      <c r="D391" s="1">
        <v>45736</v>
      </c>
      <c r="E391" s="1">
        <v>45743</v>
      </c>
      <c r="F391">
        <v>6</v>
      </c>
      <c r="G391">
        <v>662</v>
      </c>
      <c r="H391" t="s">
        <v>13</v>
      </c>
      <c r="I391" t="s">
        <v>549</v>
      </c>
      <c r="J391" t="s">
        <v>45</v>
      </c>
      <c r="K391">
        <f>YEAR(D391)</f>
        <v>2025</v>
      </c>
      <c r="L391" t="str">
        <f>TEXT(D391,"mmm")</f>
        <v>Mar</v>
      </c>
      <c r="M391" t="str">
        <f>TEXT(D391,"ddd")</f>
        <v>Thu</v>
      </c>
      <c r="N391">
        <f>DATEDIF(D391, E391, "d")</f>
        <v>7</v>
      </c>
      <c r="O391">
        <f>ROUND(Table1[[#This Row],[Unit Price]]*Table1[[#This Row],[Quantity]]*VLOOKUP(C391,Table2[#All],2,FALSE),0)</f>
        <v>3178</v>
      </c>
      <c r="P391">
        <f>ROUND(F391*G391,0)</f>
        <v>3972</v>
      </c>
      <c r="Q391">
        <f>ROUND((G391*F391)-O391,0)</f>
        <v>794</v>
      </c>
    </row>
    <row r="392" spans="1:17">
      <c r="A392" t="s">
        <v>112</v>
      </c>
      <c r="B392" t="s">
        <v>30</v>
      </c>
      <c r="C392" t="s">
        <v>31</v>
      </c>
      <c r="D392" s="1">
        <v>45353</v>
      </c>
      <c r="E392" s="1">
        <v>45364</v>
      </c>
      <c r="F392">
        <v>10</v>
      </c>
      <c r="G392">
        <v>811</v>
      </c>
      <c r="H392" t="s">
        <v>27</v>
      </c>
      <c r="I392" t="s">
        <v>550</v>
      </c>
      <c r="J392" t="s">
        <v>14</v>
      </c>
      <c r="K392">
        <f>YEAR(D392)</f>
        <v>2024</v>
      </c>
      <c r="L392" t="str">
        <f>TEXT(D392,"mmm")</f>
        <v>Mar</v>
      </c>
      <c r="M392" t="str">
        <f>TEXT(D392,"ddd")</f>
        <v>Sat</v>
      </c>
      <c r="N392">
        <f>DATEDIF(D392, E392, "d")</f>
        <v>11</v>
      </c>
      <c r="O392">
        <f>ROUND(Table1[[#This Row],[Unit Price]]*Table1[[#This Row],[Quantity]]*VLOOKUP(C392,Table2[#All],2,FALSE),0)</f>
        <v>6083</v>
      </c>
      <c r="P392">
        <f>ROUND(F392*G392,0)</f>
        <v>8110</v>
      </c>
      <c r="Q392">
        <f>ROUND((G392*F392)-O392,0)</f>
        <v>2027</v>
      </c>
    </row>
    <row r="393" spans="1:17">
      <c r="A393" t="s">
        <v>169</v>
      </c>
      <c r="B393" t="s">
        <v>16</v>
      </c>
      <c r="C393" t="s">
        <v>55</v>
      </c>
      <c r="D393" s="1">
        <v>45635</v>
      </c>
      <c r="E393" s="1">
        <v>45649</v>
      </c>
      <c r="F393">
        <v>2</v>
      </c>
      <c r="G393">
        <v>430</v>
      </c>
      <c r="H393" t="s">
        <v>27</v>
      </c>
      <c r="I393" t="s">
        <v>546</v>
      </c>
      <c r="J393" t="s">
        <v>45</v>
      </c>
      <c r="K393">
        <f>YEAR(D393)</f>
        <v>2024</v>
      </c>
      <c r="L393" t="str">
        <f>TEXT(D393,"mmm")</f>
        <v>Dec</v>
      </c>
      <c r="M393" t="str">
        <f>TEXT(D393,"ddd")</f>
        <v>Mon</v>
      </c>
      <c r="N393">
        <f>DATEDIF(D393, E393, "d")</f>
        <v>14</v>
      </c>
      <c r="O393">
        <f>ROUND(Table1[[#This Row],[Unit Price]]*Table1[[#This Row],[Quantity]]*VLOOKUP(C393,Table2[#All],2,FALSE),0)</f>
        <v>473</v>
      </c>
      <c r="P393">
        <f>ROUND(F393*G393,0)</f>
        <v>860</v>
      </c>
      <c r="Q393">
        <f>ROUND((G393*F393)-O393,0)</f>
        <v>387</v>
      </c>
    </row>
    <row r="394" spans="1:17">
      <c r="A394" t="s">
        <v>413</v>
      </c>
      <c r="B394" t="s">
        <v>16</v>
      </c>
      <c r="C394" t="s">
        <v>63</v>
      </c>
      <c r="D394" s="1">
        <v>45977</v>
      </c>
      <c r="E394" s="1">
        <v>45986</v>
      </c>
      <c r="F394">
        <v>8</v>
      </c>
      <c r="G394">
        <v>137</v>
      </c>
      <c r="H394" t="s">
        <v>13</v>
      </c>
      <c r="I394" t="s">
        <v>549</v>
      </c>
      <c r="J394" t="s">
        <v>14</v>
      </c>
      <c r="K394">
        <f>YEAR(D394)</f>
        <v>2025</v>
      </c>
      <c r="L394" t="str">
        <f>TEXT(D394,"mmm")</f>
        <v>Nov</v>
      </c>
      <c r="M394" t="str">
        <f>TEXT(D394,"ddd")</f>
        <v>Sun</v>
      </c>
      <c r="N394">
        <f>DATEDIF(D394, E394, "d")</f>
        <v>9</v>
      </c>
      <c r="O394">
        <f>ROUND(Table1[[#This Row],[Unit Price]]*Table1[[#This Row],[Quantity]]*VLOOKUP(C394,Table2[#All],2,FALSE),0)</f>
        <v>548</v>
      </c>
      <c r="P394">
        <f>ROUND(F394*G394,0)</f>
        <v>1096</v>
      </c>
      <c r="Q394">
        <f>ROUND((G394*F394)-O394,0)</f>
        <v>548</v>
      </c>
    </row>
    <row r="395" spans="1:17">
      <c r="A395" t="s">
        <v>202</v>
      </c>
      <c r="B395" t="s">
        <v>20</v>
      </c>
      <c r="C395" t="s">
        <v>53</v>
      </c>
      <c r="D395" s="1">
        <v>45441</v>
      </c>
      <c r="E395" s="1">
        <v>45446</v>
      </c>
      <c r="F395">
        <v>7</v>
      </c>
      <c r="G395">
        <v>11</v>
      </c>
      <c r="H395" t="s">
        <v>13</v>
      </c>
      <c r="I395" t="s">
        <v>32</v>
      </c>
      <c r="J395" t="s">
        <v>14</v>
      </c>
      <c r="K395">
        <f>YEAR(D395)</f>
        <v>2024</v>
      </c>
      <c r="L395" t="str">
        <f>TEXT(D395,"mmm")</f>
        <v>May</v>
      </c>
      <c r="M395" t="str">
        <f>TEXT(D395,"ddd")</f>
        <v>Wed</v>
      </c>
      <c r="N395">
        <f>DATEDIF(D395, E395, "d")</f>
        <v>5</v>
      </c>
      <c r="O395">
        <f>ROUND(Table1[[#This Row],[Unit Price]]*Table1[[#This Row],[Quantity]]*VLOOKUP(C395,Table2[#All],2,FALSE),0)</f>
        <v>54</v>
      </c>
      <c r="P395">
        <f>ROUND(F395*G395,0)</f>
        <v>77</v>
      </c>
      <c r="Q395">
        <f>ROUND((G395*F395)-O395,0)</f>
        <v>23</v>
      </c>
    </row>
    <row r="396" spans="1:17">
      <c r="A396" t="s">
        <v>79</v>
      </c>
      <c r="B396" t="s">
        <v>16</v>
      </c>
      <c r="C396" t="s">
        <v>17</v>
      </c>
      <c r="D396" s="1">
        <v>45633</v>
      </c>
      <c r="E396" s="1">
        <v>45645</v>
      </c>
      <c r="F396">
        <v>9</v>
      </c>
      <c r="G396">
        <v>316</v>
      </c>
      <c r="H396" t="s">
        <v>13</v>
      </c>
      <c r="I396" t="s">
        <v>32</v>
      </c>
      <c r="J396" t="s">
        <v>14</v>
      </c>
      <c r="K396">
        <f>YEAR(D396)</f>
        <v>2024</v>
      </c>
      <c r="L396" t="str">
        <f>TEXT(D396,"mmm")</f>
        <v>Dec</v>
      </c>
      <c r="M396" t="str">
        <f>TEXT(D396,"ddd")</f>
        <v>Sat</v>
      </c>
      <c r="N396">
        <f>DATEDIF(D396, E396, "d")</f>
        <v>12</v>
      </c>
      <c r="O396">
        <f>ROUND(Table1[[#This Row],[Unit Price]]*Table1[[#This Row],[Quantity]]*VLOOKUP(C396,Table2[#All],2,FALSE),0)</f>
        <v>1422</v>
      </c>
      <c r="P396">
        <f>ROUND(F396*G396,0)</f>
        <v>2844</v>
      </c>
      <c r="Q396">
        <f>ROUND((G396*F396)-O396,0)</f>
        <v>1422</v>
      </c>
    </row>
    <row r="397" spans="1:17">
      <c r="A397" t="s">
        <v>79</v>
      </c>
      <c r="B397" t="s">
        <v>11</v>
      </c>
      <c r="C397" t="s">
        <v>57</v>
      </c>
      <c r="D397" s="1">
        <v>45693</v>
      </c>
      <c r="E397" s="1">
        <v>45694</v>
      </c>
      <c r="F397">
        <v>4</v>
      </c>
      <c r="G397">
        <v>572</v>
      </c>
      <c r="H397" t="s">
        <v>13</v>
      </c>
      <c r="I397" t="s">
        <v>549</v>
      </c>
      <c r="J397" t="s">
        <v>28</v>
      </c>
      <c r="K397">
        <f>YEAR(D397)</f>
        <v>2025</v>
      </c>
      <c r="L397" t="str">
        <f>TEXT(D397,"mmm")</f>
        <v>Feb</v>
      </c>
      <c r="M397" t="str">
        <f>TEXT(D397,"ddd")</f>
        <v>Wed</v>
      </c>
      <c r="N397">
        <f>DATEDIF(D397, E397, "d")</f>
        <v>1</v>
      </c>
      <c r="O397">
        <f>ROUND(Table1[[#This Row],[Unit Price]]*Table1[[#This Row],[Quantity]]*VLOOKUP(C397,Table2[#All],2,FALSE),0)</f>
        <v>1945</v>
      </c>
      <c r="P397">
        <f>ROUND(F397*G397,0)</f>
        <v>2288</v>
      </c>
      <c r="Q397">
        <f>ROUND((G397*F397)-O397,0)</f>
        <v>343</v>
      </c>
    </row>
    <row r="398" spans="1:17">
      <c r="A398" t="s">
        <v>246</v>
      </c>
      <c r="B398" t="s">
        <v>16</v>
      </c>
      <c r="C398" t="s">
        <v>43</v>
      </c>
      <c r="D398" s="1">
        <v>45510</v>
      </c>
      <c r="E398" s="1">
        <v>45522</v>
      </c>
      <c r="F398">
        <v>9</v>
      </c>
      <c r="G398">
        <v>345</v>
      </c>
      <c r="H398" t="s">
        <v>27</v>
      </c>
      <c r="I398" t="s">
        <v>550</v>
      </c>
      <c r="J398" t="s">
        <v>45</v>
      </c>
      <c r="K398">
        <f>YEAR(D398)</f>
        <v>2024</v>
      </c>
      <c r="L398" t="str">
        <f>TEXT(D398,"mmm")</f>
        <v>Aug</v>
      </c>
      <c r="M398" t="str">
        <f>TEXT(D398,"ddd")</f>
        <v>Tue</v>
      </c>
      <c r="N398">
        <f>DATEDIF(D398, E398, "d")</f>
        <v>12</v>
      </c>
      <c r="O398">
        <f>ROUND(Table1[[#This Row],[Unit Price]]*Table1[[#This Row],[Quantity]]*VLOOKUP(C398,Table2[#All],2,FALSE),0)</f>
        <v>1863</v>
      </c>
      <c r="P398">
        <f>ROUND(F398*G398,0)</f>
        <v>3105</v>
      </c>
      <c r="Q398">
        <f>ROUND((G398*F398)-O398,0)</f>
        <v>1242</v>
      </c>
    </row>
    <row r="399" spans="1:17">
      <c r="A399" t="s">
        <v>366</v>
      </c>
      <c r="B399" t="s">
        <v>20</v>
      </c>
      <c r="C399" t="s">
        <v>53</v>
      </c>
      <c r="D399" s="1">
        <v>45875</v>
      </c>
      <c r="E399" s="1">
        <v>45881</v>
      </c>
      <c r="F399">
        <v>5</v>
      </c>
      <c r="G399">
        <v>285</v>
      </c>
      <c r="H399" t="s">
        <v>13</v>
      </c>
      <c r="I399" t="s">
        <v>550</v>
      </c>
      <c r="J399" t="s">
        <v>45</v>
      </c>
      <c r="K399">
        <f>YEAR(D399)</f>
        <v>2025</v>
      </c>
      <c r="L399" t="str">
        <f>TEXT(D399,"mmm")</f>
        <v>Aug</v>
      </c>
      <c r="M399" t="str">
        <f>TEXT(D399,"ddd")</f>
        <v>Wed</v>
      </c>
      <c r="N399">
        <f>DATEDIF(D399, E399, "d")</f>
        <v>6</v>
      </c>
      <c r="O399">
        <f>ROUND(Table1[[#This Row],[Unit Price]]*Table1[[#This Row],[Quantity]]*VLOOKUP(C399,Table2[#All],2,FALSE),0)</f>
        <v>998</v>
      </c>
      <c r="P399">
        <f>ROUND(F399*G399,0)</f>
        <v>1425</v>
      </c>
      <c r="Q399">
        <f>ROUND((G399*F399)-O399,0)</f>
        <v>427</v>
      </c>
    </row>
    <row r="400" spans="1:17">
      <c r="A400" t="s">
        <v>411</v>
      </c>
      <c r="B400" t="s">
        <v>16</v>
      </c>
      <c r="C400" t="s">
        <v>55</v>
      </c>
      <c r="D400" s="1">
        <v>45725</v>
      </c>
      <c r="E400" s="1">
        <v>45730</v>
      </c>
      <c r="F400">
        <v>6</v>
      </c>
      <c r="G400">
        <v>788</v>
      </c>
      <c r="H400" t="s">
        <v>13</v>
      </c>
      <c r="I400" t="s">
        <v>548</v>
      </c>
      <c r="J400" t="s">
        <v>45</v>
      </c>
      <c r="K400">
        <f>YEAR(D400)</f>
        <v>2025</v>
      </c>
      <c r="L400" t="str">
        <f>TEXT(D400,"mmm")</f>
        <v>Mar</v>
      </c>
      <c r="M400" t="str">
        <f>TEXT(D400,"ddd")</f>
        <v>Sun</v>
      </c>
      <c r="N400">
        <f>DATEDIF(D400, E400, "d")</f>
        <v>5</v>
      </c>
      <c r="O400">
        <f>ROUND(Table1[[#This Row],[Unit Price]]*Table1[[#This Row],[Quantity]]*VLOOKUP(C400,Table2[#All],2,FALSE),0)</f>
        <v>2600</v>
      </c>
      <c r="P400">
        <f>ROUND(F400*G400,0)</f>
        <v>4728</v>
      </c>
      <c r="Q400">
        <f>ROUND((G400*F400)-O400,0)</f>
        <v>2128</v>
      </c>
    </row>
    <row r="401" spans="1:17">
      <c r="A401" t="s">
        <v>670</v>
      </c>
      <c r="B401" t="s">
        <v>16</v>
      </c>
      <c r="C401" t="s">
        <v>59</v>
      </c>
      <c r="D401" s="1">
        <v>45513</v>
      </c>
      <c r="E401" s="1">
        <v>45517</v>
      </c>
      <c r="F401">
        <v>1</v>
      </c>
      <c r="G401">
        <v>50</v>
      </c>
      <c r="H401" t="s">
        <v>13</v>
      </c>
      <c r="I401" t="s">
        <v>550</v>
      </c>
      <c r="J401" t="s">
        <v>28</v>
      </c>
      <c r="K401">
        <f>YEAR(D401)</f>
        <v>2024</v>
      </c>
      <c r="L401" t="str">
        <f>TEXT(D401,"mmm")</f>
        <v>Aug</v>
      </c>
      <c r="M401" t="str">
        <f>TEXT(D401,"ddd")</f>
        <v>Fri</v>
      </c>
      <c r="N401">
        <f>DATEDIF(D401, E401, "d")</f>
        <v>4</v>
      </c>
      <c r="O401">
        <f>ROUND(Table1[[#This Row],[Unit Price]]*Table1[[#This Row],[Quantity]]*VLOOKUP(C401,Table2[#All],2,FALSE),0)</f>
        <v>33</v>
      </c>
      <c r="P401">
        <f>ROUND(F401*G401,0)</f>
        <v>50</v>
      </c>
      <c r="Q401">
        <f>ROUND((G401*F401)-O401,0)</f>
        <v>17</v>
      </c>
    </row>
    <row r="402" spans="1:17">
      <c r="A402" t="s">
        <v>164</v>
      </c>
      <c r="B402" t="s">
        <v>11</v>
      </c>
      <c r="C402" t="s">
        <v>95</v>
      </c>
      <c r="D402" s="1">
        <v>45603</v>
      </c>
      <c r="E402" s="1">
        <v>45608</v>
      </c>
      <c r="F402">
        <v>3</v>
      </c>
      <c r="G402">
        <v>77</v>
      </c>
      <c r="H402" t="s">
        <v>27</v>
      </c>
      <c r="I402" t="s">
        <v>550</v>
      </c>
      <c r="J402" t="s">
        <v>28</v>
      </c>
      <c r="K402">
        <f>YEAR(D402)</f>
        <v>2024</v>
      </c>
      <c r="L402" t="str">
        <f>TEXT(D402,"mmm")</f>
        <v>Nov</v>
      </c>
      <c r="M402" t="str">
        <f>TEXT(D402,"ddd")</f>
        <v>Thu</v>
      </c>
      <c r="N402">
        <f>DATEDIF(D402, E402, "d")</f>
        <v>5</v>
      </c>
      <c r="O402">
        <f>ROUND(Table1[[#This Row],[Unit Price]]*Table1[[#This Row],[Quantity]]*VLOOKUP(C402,Table2[#All],2,FALSE),0)</f>
        <v>162</v>
      </c>
      <c r="P402">
        <f>ROUND(F402*G402,0)</f>
        <v>231</v>
      </c>
      <c r="Q402">
        <f>ROUND((G402*F402)-O402,0)</f>
        <v>69</v>
      </c>
    </row>
    <row r="403" spans="1:17">
      <c r="A403" t="s">
        <v>542</v>
      </c>
      <c r="B403" t="s">
        <v>30</v>
      </c>
      <c r="C403" t="s">
        <v>75</v>
      </c>
      <c r="D403" s="1">
        <v>45934</v>
      </c>
      <c r="E403" s="1">
        <v>45940</v>
      </c>
      <c r="F403">
        <v>5</v>
      </c>
      <c r="G403">
        <v>953</v>
      </c>
      <c r="H403" t="s">
        <v>13</v>
      </c>
      <c r="I403" t="s">
        <v>548</v>
      </c>
      <c r="J403" t="s">
        <v>28</v>
      </c>
      <c r="K403">
        <f>YEAR(D403)</f>
        <v>2025</v>
      </c>
      <c r="L403" t="str">
        <f>TEXT(D403,"mmm")</f>
        <v>Oct</v>
      </c>
      <c r="M403" t="str">
        <f>TEXT(D403,"ddd")</f>
        <v>Sat</v>
      </c>
      <c r="N403">
        <f>DATEDIF(D403, E403, "d")</f>
        <v>6</v>
      </c>
      <c r="O403">
        <f>ROUND(Table1[[#This Row],[Unit Price]]*Table1[[#This Row],[Quantity]]*VLOOKUP(C403,Table2[#All],2,FALSE),0)</f>
        <v>3574</v>
      </c>
      <c r="P403">
        <f>ROUND(F403*G403,0)</f>
        <v>4765</v>
      </c>
      <c r="Q403">
        <f>ROUND((G403*F403)-O403,0)</f>
        <v>1191</v>
      </c>
    </row>
    <row r="404" spans="1:17">
      <c r="A404" t="s">
        <v>475</v>
      </c>
      <c r="B404" t="s">
        <v>20</v>
      </c>
      <c r="C404" t="s">
        <v>21</v>
      </c>
      <c r="D404" s="1">
        <v>46007</v>
      </c>
      <c r="E404" s="1">
        <v>46020</v>
      </c>
      <c r="F404">
        <v>8</v>
      </c>
      <c r="G404">
        <v>259</v>
      </c>
      <c r="H404" t="s">
        <v>27</v>
      </c>
      <c r="I404" t="s">
        <v>548</v>
      </c>
      <c r="J404" t="s">
        <v>28</v>
      </c>
      <c r="K404">
        <f>YEAR(D404)</f>
        <v>2025</v>
      </c>
      <c r="L404" t="str">
        <f>TEXT(D404,"mmm")</f>
        <v>Dec</v>
      </c>
      <c r="M404" t="str">
        <f>TEXT(D404,"ddd")</f>
        <v>Tue</v>
      </c>
      <c r="N404">
        <f>DATEDIF(D404, E404, "d")</f>
        <v>13</v>
      </c>
      <c r="O404">
        <f>ROUND(Table1[[#This Row],[Unit Price]]*Table1[[#This Row],[Quantity]]*VLOOKUP(C404,Table2[#All],2,FALSE),0)</f>
        <v>1554</v>
      </c>
      <c r="P404">
        <f>ROUND(F404*G404,0)</f>
        <v>2072</v>
      </c>
      <c r="Q404">
        <f>ROUND((G404*F404)-O404,0)</f>
        <v>518</v>
      </c>
    </row>
    <row r="405" spans="1:17">
      <c r="A405" t="s">
        <v>371</v>
      </c>
      <c r="B405" t="s">
        <v>16</v>
      </c>
      <c r="C405" t="s">
        <v>43</v>
      </c>
      <c r="D405" s="1">
        <v>46008</v>
      </c>
      <c r="E405" s="1">
        <v>46017</v>
      </c>
      <c r="F405">
        <v>3</v>
      </c>
      <c r="G405">
        <v>868</v>
      </c>
      <c r="H405" t="s">
        <v>13</v>
      </c>
      <c r="I405" t="s">
        <v>548</v>
      </c>
      <c r="J405" t="s">
        <v>18</v>
      </c>
      <c r="K405">
        <f>YEAR(D405)</f>
        <v>2025</v>
      </c>
      <c r="L405" t="str">
        <f>TEXT(D405,"mmm")</f>
        <v>Dec</v>
      </c>
      <c r="M405" t="str">
        <f>TEXT(D405,"ddd")</f>
        <v>Wed</v>
      </c>
      <c r="N405">
        <f>DATEDIF(D405, E405, "d")</f>
        <v>9</v>
      </c>
      <c r="O405">
        <f>ROUND(Table1[[#This Row],[Unit Price]]*Table1[[#This Row],[Quantity]]*VLOOKUP(C405,Table2[#All],2,FALSE),0)</f>
        <v>1562</v>
      </c>
      <c r="P405">
        <f>ROUND(F405*G405,0)</f>
        <v>2604</v>
      </c>
      <c r="Q405">
        <f>ROUND((G405*F405)-O405,0)</f>
        <v>1042</v>
      </c>
    </row>
    <row r="406" spans="1:17">
      <c r="A406" t="s">
        <v>322</v>
      </c>
      <c r="B406" t="s">
        <v>11</v>
      </c>
      <c r="C406" t="s">
        <v>95</v>
      </c>
      <c r="D406" s="1">
        <v>45353</v>
      </c>
      <c r="E406" s="1">
        <v>45366</v>
      </c>
      <c r="F406">
        <v>7</v>
      </c>
      <c r="G406">
        <v>720</v>
      </c>
      <c r="H406" t="s">
        <v>13</v>
      </c>
      <c r="I406" t="s">
        <v>547</v>
      </c>
      <c r="J406" t="s">
        <v>18</v>
      </c>
      <c r="K406">
        <f>YEAR(D406)</f>
        <v>2024</v>
      </c>
      <c r="L406" t="str">
        <f>TEXT(D406,"mmm")</f>
        <v>Mar</v>
      </c>
      <c r="M406" t="str">
        <f>TEXT(D406,"ddd")</f>
        <v>Sat</v>
      </c>
      <c r="N406">
        <f>DATEDIF(D406, E406, "d")</f>
        <v>13</v>
      </c>
      <c r="O406">
        <f>ROUND(Table1[[#This Row],[Unit Price]]*Table1[[#This Row],[Quantity]]*VLOOKUP(C406,Table2[#All],2,FALSE),0)</f>
        <v>3528</v>
      </c>
      <c r="P406">
        <f>ROUND(F406*G406,0)</f>
        <v>5040</v>
      </c>
      <c r="Q406">
        <f>ROUND((G406*F406)-O406,0)</f>
        <v>1512</v>
      </c>
    </row>
    <row r="407" spans="1:17">
      <c r="A407" t="s">
        <v>288</v>
      </c>
      <c r="B407" t="s">
        <v>30</v>
      </c>
      <c r="C407" t="s">
        <v>49</v>
      </c>
      <c r="D407" s="1">
        <v>45490</v>
      </c>
      <c r="E407" s="1">
        <v>45496</v>
      </c>
      <c r="F407">
        <v>2</v>
      </c>
      <c r="G407">
        <v>752</v>
      </c>
      <c r="H407" t="s">
        <v>27</v>
      </c>
      <c r="I407" t="s">
        <v>32</v>
      </c>
      <c r="J407" t="s">
        <v>18</v>
      </c>
      <c r="K407">
        <f>YEAR(D407)</f>
        <v>2024</v>
      </c>
      <c r="L407" t="str">
        <f>TEXT(D407,"mmm")</f>
        <v>Jul</v>
      </c>
      <c r="M407" t="str">
        <f>TEXT(D407,"ddd")</f>
        <v>Wed</v>
      </c>
      <c r="N407">
        <f>DATEDIF(D407, E407, "d")</f>
        <v>6</v>
      </c>
      <c r="O407">
        <f>ROUND(Table1[[#This Row],[Unit Price]]*Table1[[#This Row],[Quantity]]*VLOOKUP(C407,Table2[#All],2,FALSE),0)</f>
        <v>1053</v>
      </c>
      <c r="P407">
        <f>ROUND(F407*G407,0)</f>
        <v>1504</v>
      </c>
      <c r="Q407">
        <f>ROUND((G407*F407)-O407,0)</f>
        <v>451</v>
      </c>
    </row>
    <row r="408" spans="1:17">
      <c r="A408" t="s">
        <v>33</v>
      </c>
      <c r="B408" t="s">
        <v>23</v>
      </c>
      <c r="C408" t="s">
        <v>24</v>
      </c>
      <c r="D408" s="1">
        <v>45375</v>
      </c>
      <c r="E408" s="1">
        <v>45387</v>
      </c>
      <c r="F408">
        <v>6</v>
      </c>
      <c r="G408">
        <v>373</v>
      </c>
      <c r="H408" t="s">
        <v>27</v>
      </c>
      <c r="I408" t="s">
        <v>550</v>
      </c>
      <c r="J408" t="s">
        <v>28</v>
      </c>
      <c r="K408">
        <f>YEAR(D408)</f>
        <v>2024</v>
      </c>
      <c r="L408" t="str">
        <f>TEXT(D408,"mmm")</f>
        <v>Mar</v>
      </c>
      <c r="M408" t="str">
        <f>TEXT(D408,"ddd")</f>
        <v>Sun</v>
      </c>
      <c r="N408">
        <f>DATEDIF(D408, E408, "d")</f>
        <v>12</v>
      </c>
      <c r="O408">
        <f>ROUND(Table1[[#This Row],[Unit Price]]*Table1[[#This Row],[Quantity]]*VLOOKUP(C408,Table2[#All],2,FALSE),0)</f>
        <v>1231</v>
      </c>
      <c r="P408">
        <f>ROUND(F408*G408,0)</f>
        <v>2238</v>
      </c>
      <c r="Q408">
        <f>ROUND((G408*F408)-O408,0)</f>
        <v>1007</v>
      </c>
    </row>
    <row r="409" spans="1:17">
      <c r="A409" t="s">
        <v>178</v>
      </c>
      <c r="B409" t="s">
        <v>11</v>
      </c>
      <c r="C409" t="s">
        <v>12</v>
      </c>
      <c r="D409" s="1">
        <v>45546</v>
      </c>
      <c r="E409" s="1">
        <v>45559</v>
      </c>
      <c r="F409">
        <v>7</v>
      </c>
      <c r="G409">
        <v>189</v>
      </c>
      <c r="H409" t="s">
        <v>27</v>
      </c>
      <c r="I409" t="s">
        <v>550</v>
      </c>
      <c r="J409" t="s">
        <v>18</v>
      </c>
      <c r="K409">
        <f>YEAR(D409)</f>
        <v>2024</v>
      </c>
      <c r="L409" t="str">
        <f>TEXT(D409,"mmm")</f>
        <v>Sep</v>
      </c>
      <c r="M409" t="str">
        <f>TEXT(D409,"ddd")</f>
        <v>Wed</v>
      </c>
      <c r="N409">
        <f>DATEDIF(D409, E409, "d")</f>
        <v>13</v>
      </c>
      <c r="O409">
        <f>ROUND(Table1[[#This Row],[Unit Price]]*Table1[[#This Row],[Quantity]]*VLOOKUP(C409,Table2[#All],2,FALSE),0)</f>
        <v>992</v>
      </c>
      <c r="P409">
        <f>ROUND(F409*G409,0)</f>
        <v>1323</v>
      </c>
      <c r="Q409">
        <f>ROUND((G409*F409)-O409,0)</f>
        <v>331</v>
      </c>
    </row>
    <row r="410" spans="1:17">
      <c r="A410" t="s">
        <v>365</v>
      </c>
      <c r="B410" t="s">
        <v>30</v>
      </c>
      <c r="C410" t="s">
        <v>41</v>
      </c>
      <c r="D410" s="1">
        <v>45978</v>
      </c>
      <c r="E410" s="1">
        <v>45984</v>
      </c>
      <c r="F410">
        <v>4</v>
      </c>
      <c r="G410">
        <v>149</v>
      </c>
      <c r="H410" t="s">
        <v>13</v>
      </c>
      <c r="I410" t="s">
        <v>548</v>
      </c>
      <c r="J410" t="s">
        <v>28</v>
      </c>
      <c r="K410">
        <f>YEAR(D410)</f>
        <v>2025</v>
      </c>
      <c r="L410" t="str">
        <f>TEXT(D410,"mmm")</f>
        <v>Nov</v>
      </c>
      <c r="M410" t="str">
        <f>TEXT(D410,"ddd")</f>
        <v>Mon</v>
      </c>
      <c r="N410">
        <f>DATEDIF(D410, E410, "d")</f>
        <v>6</v>
      </c>
      <c r="O410">
        <f>ROUND(Table1[[#This Row],[Unit Price]]*Table1[[#This Row],[Quantity]]*VLOOKUP(C410,Table2[#All],2,FALSE),0)</f>
        <v>387</v>
      </c>
      <c r="P410">
        <f>ROUND(F410*G410,0)</f>
        <v>596</v>
      </c>
      <c r="Q410">
        <f>ROUND((G410*F410)-O410,0)</f>
        <v>209</v>
      </c>
    </row>
    <row r="411" spans="1:17">
      <c r="A411" t="s">
        <v>38</v>
      </c>
      <c r="B411" t="s">
        <v>20</v>
      </c>
      <c r="C411" t="s">
        <v>39</v>
      </c>
      <c r="D411" s="1">
        <v>45453</v>
      </c>
      <c r="E411" s="1">
        <v>45468</v>
      </c>
      <c r="F411">
        <v>7</v>
      </c>
      <c r="G411">
        <v>284</v>
      </c>
      <c r="H411" t="s">
        <v>27</v>
      </c>
      <c r="I411" t="s">
        <v>550</v>
      </c>
      <c r="J411" t="s">
        <v>18</v>
      </c>
      <c r="K411">
        <f>YEAR(D411)</f>
        <v>2024</v>
      </c>
      <c r="L411" t="str">
        <f>TEXT(D411,"mmm")</f>
        <v>Jun</v>
      </c>
      <c r="M411" t="str">
        <f>TEXT(D411,"ddd")</f>
        <v>Mon</v>
      </c>
      <c r="N411">
        <f>DATEDIF(D411, E411, "d")</f>
        <v>15</v>
      </c>
      <c r="O411">
        <f>ROUND(Table1[[#This Row],[Unit Price]]*Table1[[#This Row],[Quantity]]*VLOOKUP(C411,Table2[#All],2,FALSE),0)</f>
        <v>1292</v>
      </c>
      <c r="P411">
        <f>ROUND(F411*G411,0)</f>
        <v>1988</v>
      </c>
      <c r="Q411">
        <f>ROUND((G411*F411)-O411,0)</f>
        <v>696</v>
      </c>
    </row>
    <row r="412" spans="1:17">
      <c r="A412" t="s">
        <v>38</v>
      </c>
      <c r="B412" t="s">
        <v>16</v>
      </c>
      <c r="C412" t="s">
        <v>43</v>
      </c>
      <c r="D412" s="1">
        <v>45987</v>
      </c>
      <c r="E412" s="1">
        <v>45996</v>
      </c>
      <c r="F412">
        <v>5</v>
      </c>
      <c r="G412">
        <v>900</v>
      </c>
      <c r="H412" t="s">
        <v>27</v>
      </c>
      <c r="I412" t="s">
        <v>548</v>
      </c>
      <c r="J412" t="s">
        <v>45</v>
      </c>
      <c r="K412">
        <f>YEAR(D412)</f>
        <v>2025</v>
      </c>
      <c r="L412" t="str">
        <f>TEXT(D412,"mmm")</f>
        <v>Nov</v>
      </c>
      <c r="M412" t="str">
        <f>TEXT(D412,"ddd")</f>
        <v>Wed</v>
      </c>
      <c r="N412">
        <f>DATEDIF(D412, E412, "d")</f>
        <v>9</v>
      </c>
      <c r="O412">
        <f>ROUND(Table1[[#This Row],[Unit Price]]*Table1[[#This Row],[Quantity]]*VLOOKUP(C412,Table2[#All],2,FALSE),0)</f>
        <v>2700</v>
      </c>
      <c r="P412">
        <f>ROUND(F412*G412,0)</f>
        <v>4500</v>
      </c>
      <c r="Q412">
        <f>ROUND((G412*F412)-O412,0)</f>
        <v>1800</v>
      </c>
    </row>
    <row r="413" spans="1:17">
      <c r="A413" t="s">
        <v>527</v>
      </c>
      <c r="B413" t="s">
        <v>16</v>
      </c>
      <c r="C413" t="s">
        <v>55</v>
      </c>
      <c r="D413" s="1">
        <v>45660</v>
      </c>
      <c r="E413" s="1">
        <v>45667</v>
      </c>
      <c r="F413">
        <v>9</v>
      </c>
      <c r="G413">
        <v>727</v>
      </c>
      <c r="H413" t="s">
        <v>13</v>
      </c>
      <c r="I413" t="s">
        <v>550</v>
      </c>
      <c r="J413" t="s">
        <v>14</v>
      </c>
      <c r="K413">
        <f>YEAR(D413)</f>
        <v>2025</v>
      </c>
      <c r="L413" t="str">
        <f>TEXT(D413,"mmm")</f>
        <v>Jan</v>
      </c>
      <c r="M413" t="str">
        <f>TEXT(D413,"ddd")</f>
        <v>Fri</v>
      </c>
      <c r="N413">
        <f>DATEDIF(D413, E413, "d")</f>
        <v>7</v>
      </c>
      <c r="O413">
        <f>ROUND(Table1[[#This Row],[Unit Price]]*Table1[[#This Row],[Quantity]]*VLOOKUP(C413,Table2[#All],2,FALSE),0)</f>
        <v>3599</v>
      </c>
      <c r="P413">
        <f>ROUND(F413*G413,0)</f>
        <v>6543</v>
      </c>
      <c r="Q413">
        <f>ROUND((G413*F413)-O413,0)</f>
        <v>2944</v>
      </c>
    </row>
    <row r="414" spans="1:17">
      <c r="A414" t="s">
        <v>664</v>
      </c>
      <c r="B414" t="s">
        <v>23</v>
      </c>
      <c r="C414" t="s">
        <v>24</v>
      </c>
      <c r="D414" s="1">
        <v>45383</v>
      </c>
      <c r="E414" s="1">
        <v>45387</v>
      </c>
      <c r="F414">
        <v>15</v>
      </c>
      <c r="G414">
        <v>800</v>
      </c>
      <c r="H414" t="s">
        <v>13</v>
      </c>
      <c r="I414" t="s">
        <v>548</v>
      </c>
      <c r="J414" t="s">
        <v>18</v>
      </c>
      <c r="K414">
        <f>YEAR(D414)</f>
        <v>2024</v>
      </c>
      <c r="L414" t="str">
        <f>TEXT(D414,"mmm")</f>
        <v>Apr</v>
      </c>
      <c r="M414" t="str">
        <f>TEXT(D414,"ddd")</f>
        <v>Mon</v>
      </c>
      <c r="N414">
        <f>DATEDIF(D414, E414, "d")</f>
        <v>4</v>
      </c>
      <c r="O414">
        <f>ROUND(Table1[[#This Row],[Unit Price]]*Table1[[#This Row],[Quantity]]*VLOOKUP(C414,Table2[#All],2,FALSE),0)</f>
        <v>6600</v>
      </c>
      <c r="P414">
        <f>ROUND(F414*G414,0)</f>
        <v>12000</v>
      </c>
      <c r="Q414">
        <f>ROUND((G414*F414)-O414,0)</f>
        <v>5400</v>
      </c>
    </row>
    <row r="415" spans="1:17">
      <c r="A415" t="s">
        <v>385</v>
      </c>
      <c r="B415" t="s">
        <v>23</v>
      </c>
      <c r="C415" t="s">
        <v>37</v>
      </c>
      <c r="D415" s="1">
        <v>45988</v>
      </c>
      <c r="E415" s="1">
        <v>45994</v>
      </c>
      <c r="F415">
        <v>9</v>
      </c>
      <c r="G415">
        <v>185</v>
      </c>
      <c r="H415" t="s">
        <v>27</v>
      </c>
      <c r="I415" t="s">
        <v>550</v>
      </c>
      <c r="J415" t="s">
        <v>14</v>
      </c>
      <c r="K415">
        <f>YEAR(D415)</f>
        <v>2025</v>
      </c>
      <c r="L415" t="str">
        <f>TEXT(D415,"mmm")</f>
        <v>Nov</v>
      </c>
      <c r="M415" t="str">
        <f>TEXT(D415,"ddd")</f>
        <v>Thu</v>
      </c>
      <c r="N415">
        <f>DATEDIF(D415, E415, "d")</f>
        <v>6</v>
      </c>
      <c r="O415">
        <f>ROUND(Table1[[#This Row],[Unit Price]]*Table1[[#This Row],[Quantity]]*VLOOKUP(C415,Table2[#All],2,FALSE),0)</f>
        <v>833</v>
      </c>
      <c r="P415">
        <f>ROUND(F415*G415,0)</f>
        <v>1665</v>
      </c>
      <c r="Q415">
        <f>ROUND((G415*F415)-O415,0)</f>
        <v>832</v>
      </c>
    </row>
    <row r="416" spans="1:17">
      <c r="A416" t="s">
        <v>244</v>
      </c>
      <c r="B416" t="s">
        <v>20</v>
      </c>
      <c r="C416" t="s">
        <v>39</v>
      </c>
      <c r="D416" s="1">
        <v>45461</v>
      </c>
      <c r="E416" s="1">
        <v>45467</v>
      </c>
      <c r="F416">
        <v>3</v>
      </c>
      <c r="G416">
        <v>758</v>
      </c>
      <c r="H416" t="s">
        <v>27</v>
      </c>
      <c r="I416" t="s">
        <v>549</v>
      </c>
      <c r="J416" t="s">
        <v>28</v>
      </c>
      <c r="K416">
        <f>YEAR(D416)</f>
        <v>2024</v>
      </c>
      <c r="L416" t="str">
        <f>TEXT(D416,"mmm")</f>
        <v>Jun</v>
      </c>
      <c r="M416" t="str">
        <f>TEXT(D416,"ddd")</f>
        <v>Tue</v>
      </c>
      <c r="N416">
        <f>DATEDIF(D416, E416, "d")</f>
        <v>6</v>
      </c>
      <c r="O416">
        <f>ROUND(Table1[[#This Row],[Unit Price]]*Table1[[#This Row],[Quantity]]*VLOOKUP(C416,Table2[#All],2,FALSE),0)</f>
        <v>1478</v>
      </c>
      <c r="P416">
        <f>ROUND(F416*G416,0)</f>
        <v>2274</v>
      </c>
      <c r="Q416">
        <f>ROUND((G416*F416)-O416,0)</f>
        <v>796</v>
      </c>
    </row>
    <row r="417" spans="1:17">
      <c r="A417" t="s">
        <v>228</v>
      </c>
      <c r="B417" t="s">
        <v>20</v>
      </c>
      <c r="C417" t="s">
        <v>51</v>
      </c>
      <c r="D417" s="1">
        <v>45555</v>
      </c>
      <c r="E417" s="1">
        <v>45562</v>
      </c>
      <c r="F417">
        <v>3</v>
      </c>
      <c r="G417">
        <v>345</v>
      </c>
      <c r="H417" t="s">
        <v>13</v>
      </c>
      <c r="I417" t="s">
        <v>32</v>
      </c>
      <c r="J417" t="s">
        <v>45</v>
      </c>
      <c r="K417">
        <f>YEAR(D417)</f>
        <v>2024</v>
      </c>
      <c r="L417" t="str">
        <f>TEXT(D417,"mmm")</f>
        <v>Sep</v>
      </c>
      <c r="M417" t="str">
        <f>TEXT(D417,"ddd")</f>
        <v>Fri</v>
      </c>
      <c r="N417">
        <f>DATEDIF(D417, E417, "d")</f>
        <v>7</v>
      </c>
      <c r="O417">
        <f>ROUND(Table1[[#This Row],[Unit Price]]*Table1[[#This Row],[Quantity]]*VLOOKUP(C417,Table2[#All],2,FALSE),0)</f>
        <v>725</v>
      </c>
      <c r="P417">
        <f>ROUND(F417*G417,0)</f>
        <v>1035</v>
      </c>
      <c r="Q417">
        <f>ROUND((G417*F417)-O417,0)</f>
        <v>310</v>
      </c>
    </row>
    <row r="418" spans="1:17">
      <c r="A418" t="s">
        <v>466</v>
      </c>
      <c r="B418" t="s">
        <v>16</v>
      </c>
      <c r="C418" t="s">
        <v>55</v>
      </c>
      <c r="D418" s="1">
        <v>45698</v>
      </c>
      <c r="E418" s="1">
        <v>45707</v>
      </c>
      <c r="F418">
        <v>1</v>
      </c>
      <c r="G418">
        <v>200</v>
      </c>
      <c r="H418" t="s">
        <v>27</v>
      </c>
      <c r="I418" t="s">
        <v>548</v>
      </c>
      <c r="J418" t="s">
        <v>18</v>
      </c>
      <c r="K418">
        <f>YEAR(D418)</f>
        <v>2025</v>
      </c>
      <c r="L418" t="str">
        <f>TEXT(D418,"mmm")</f>
        <v>Feb</v>
      </c>
      <c r="M418" t="str">
        <f>TEXT(D418,"ddd")</f>
        <v>Mon</v>
      </c>
      <c r="N418">
        <f>DATEDIF(D418, E418, "d")</f>
        <v>9</v>
      </c>
      <c r="O418">
        <f>ROUND(Table1[[#This Row],[Unit Price]]*Table1[[#This Row],[Quantity]]*VLOOKUP(C418,Table2[#All],2,FALSE),0)</f>
        <v>110</v>
      </c>
      <c r="P418">
        <f>ROUND(F418*G418,0)</f>
        <v>200</v>
      </c>
      <c r="Q418">
        <f>ROUND((G418*F418)-O418,0)</f>
        <v>90</v>
      </c>
    </row>
    <row r="419" spans="1:17">
      <c r="A419" t="s">
        <v>218</v>
      </c>
      <c r="B419" t="s">
        <v>30</v>
      </c>
      <c r="C419" t="s">
        <v>75</v>
      </c>
      <c r="D419" s="1">
        <v>45522</v>
      </c>
      <c r="E419" s="1">
        <v>45529</v>
      </c>
      <c r="F419">
        <v>8</v>
      </c>
      <c r="G419">
        <v>706</v>
      </c>
      <c r="H419" t="s">
        <v>13</v>
      </c>
      <c r="I419" t="s">
        <v>32</v>
      </c>
      <c r="J419" t="s">
        <v>14</v>
      </c>
      <c r="K419">
        <f>YEAR(D419)</f>
        <v>2024</v>
      </c>
      <c r="L419" t="str">
        <f>TEXT(D419,"mmm")</f>
        <v>Aug</v>
      </c>
      <c r="M419" t="str">
        <f>TEXT(D419,"ddd")</f>
        <v>Sun</v>
      </c>
      <c r="N419">
        <f>DATEDIF(D419, E419, "d")</f>
        <v>7</v>
      </c>
      <c r="O419">
        <f>ROUND(Table1[[#This Row],[Unit Price]]*Table1[[#This Row],[Quantity]]*VLOOKUP(C419,Table2[#All],2,FALSE),0)</f>
        <v>4236</v>
      </c>
      <c r="P419">
        <f>ROUND(F419*G419,0)</f>
        <v>5648</v>
      </c>
      <c r="Q419">
        <f>ROUND((G419*F419)-O419,0)</f>
        <v>1412</v>
      </c>
    </row>
    <row r="420" spans="1:17">
      <c r="A420" t="s">
        <v>364</v>
      </c>
      <c r="B420" t="s">
        <v>23</v>
      </c>
      <c r="C420" t="s">
        <v>37</v>
      </c>
      <c r="D420" s="1">
        <v>45827</v>
      </c>
      <c r="E420" s="1">
        <v>45833</v>
      </c>
      <c r="F420">
        <v>7</v>
      </c>
      <c r="G420">
        <v>409</v>
      </c>
      <c r="H420" t="s">
        <v>13</v>
      </c>
      <c r="I420" t="s">
        <v>32</v>
      </c>
      <c r="J420" t="s">
        <v>28</v>
      </c>
      <c r="K420">
        <f>YEAR(D420)</f>
        <v>2025</v>
      </c>
      <c r="L420" t="str">
        <f>TEXT(D420,"mmm")</f>
        <v>Jun</v>
      </c>
      <c r="M420" t="str">
        <f>TEXT(D420,"ddd")</f>
        <v>Thu</v>
      </c>
      <c r="N420">
        <f>DATEDIF(D420, E420, "d")</f>
        <v>6</v>
      </c>
      <c r="O420">
        <f>ROUND(Table1[[#This Row],[Unit Price]]*Table1[[#This Row],[Quantity]]*VLOOKUP(C420,Table2[#All],2,FALSE),0)</f>
        <v>1432</v>
      </c>
      <c r="P420">
        <f>ROUND(F420*G420,0)</f>
        <v>2863</v>
      </c>
      <c r="Q420">
        <f>ROUND((G420*F420)-O420,0)</f>
        <v>1431</v>
      </c>
    </row>
    <row r="421" spans="1:17">
      <c r="A421" t="s">
        <v>394</v>
      </c>
      <c r="B421" t="s">
        <v>16</v>
      </c>
      <c r="C421" t="s">
        <v>55</v>
      </c>
      <c r="D421" s="1">
        <v>45742</v>
      </c>
      <c r="E421" s="1">
        <v>45751</v>
      </c>
      <c r="F421">
        <v>7</v>
      </c>
      <c r="G421">
        <v>216</v>
      </c>
      <c r="H421" t="s">
        <v>27</v>
      </c>
      <c r="I421" t="s">
        <v>549</v>
      </c>
      <c r="J421" t="s">
        <v>18</v>
      </c>
      <c r="K421">
        <f>YEAR(D421)</f>
        <v>2025</v>
      </c>
      <c r="L421" t="str">
        <f>TEXT(D421,"mmm")</f>
        <v>Mar</v>
      </c>
      <c r="M421" t="str">
        <f>TEXT(D421,"ddd")</f>
        <v>Wed</v>
      </c>
      <c r="N421">
        <f>DATEDIF(D421, E421, "d")</f>
        <v>9</v>
      </c>
      <c r="O421">
        <f>ROUND(Table1[[#This Row],[Unit Price]]*Table1[[#This Row],[Quantity]]*VLOOKUP(C421,Table2[#All],2,FALSE),0)</f>
        <v>832</v>
      </c>
      <c r="P421">
        <f>ROUND(F421*G421,0)</f>
        <v>1512</v>
      </c>
      <c r="Q421">
        <f>ROUND((G421*F421)-O421,0)</f>
        <v>680</v>
      </c>
    </row>
    <row r="422" spans="1:17">
      <c r="A422" t="s">
        <v>460</v>
      </c>
      <c r="B422" t="s">
        <v>11</v>
      </c>
      <c r="C422" t="s">
        <v>26</v>
      </c>
      <c r="D422" s="1">
        <v>45854</v>
      </c>
      <c r="E422" s="1">
        <v>45867</v>
      </c>
      <c r="F422">
        <v>2</v>
      </c>
      <c r="G422">
        <v>146</v>
      </c>
      <c r="H422" t="s">
        <v>27</v>
      </c>
      <c r="I422" t="s">
        <v>546</v>
      </c>
      <c r="J422" t="s">
        <v>45</v>
      </c>
      <c r="K422">
        <f>YEAR(D422)</f>
        <v>2025</v>
      </c>
      <c r="L422" t="str">
        <f>TEXT(D422,"mmm")</f>
        <v>Jul</v>
      </c>
      <c r="M422" t="str">
        <f>TEXT(D422,"ddd")</f>
        <v>Wed</v>
      </c>
      <c r="N422">
        <f>DATEDIF(D422, E422, "d")</f>
        <v>13</v>
      </c>
      <c r="O422">
        <f>ROUND(Table1[[#This Row],[Unit Price]]*Table1[[#This Row],[Quantity]]*VLOOKUP(C422,Table2[#All],2,FALSE),0)</f>
        <v>190</v>
      </c>
      <c r="P422">
        <f>ROUND(F422*G422,0)</f>
        <v>292</v>
      </c>
      <c r="Q422">
        <f>ROUND((G422*F422)-O422,0)</f>
        <v>102</v>
      </c>
    </row>
    <row r="423" spans="1:17">
      <c r="A423" t="s">
        <v>269</v>
      </c>
      <c r="B423" t="s">
        <v>20</v>
      </c>
      <c r="C423" t="s">
        <v>82</v>
      </c>
      <c r="D423" s="1">
        <v>45452</v>
      </c>
      <c r="E423" s="1">
        <v>45462</v>
      </c>
      <c r="F423">
        <v>7</v>
      </c>
      <c r="G423">
        <v>56</v>
      </c>
      <c r="H423" t="s">
        <v>27</v>
      </c>
      <c r="I423" t="s">
        <v>32</v>
      </c>
      <c r="J423" t="s">
        <v>28</v>
      </c>
      <c r="K423">
        <f>YEAR(D423)</f>
        <v>2024</v>
      </c>
      <c r="L423" t="str">
        <f>TEXT(D423,"mmm")</f>
        <v>Jun</v>
      </c>
      <c r="M423" t="str">
        <f>TEXT(D423,"ddd")</f>
        <v>Sun</v>
      </c>
      <c r="N423">
        <f>DATEDIF(D423, E423, "d")</f>
        <v>10</v>
      </c>
      <c r="O423">
        <f>ROUND(Table1[[#This Row],[Unit Price]]*Table1[[#This Row],[Quantity]]*VLOOKUP(C423,Table2[#All],2,FALSE),0)</f>
        <v>314</v>
      </c>
      <c r="P423">
        <f>ROUND(F423*G423,0)</f>
        <v>392</v>
      </c>
      <c r="Q423">
        <f>ROUND((G423*F423)-O423,0)</f>
        <v>78</v>
      </c>
    </row>
    <row r="424" spans="1:17">
      <c r="A424" t="s">
        <v>316</v>
      </c>
      <c r="B424" t="s">
        <v>23</v>
      </c>
      <c r="C424" t="s">
        <v>24</v>
      </c>
      <c r="D424" s="1">
        <v>45457</v>
      </c>
      <c r="E424" s="1">
        <v>45461</v>
      </c>
      <c r="F424">
        <v>5</v>
      </c>
      <c r="G424">
        <v>355</v>
      </c>
      <c r="H424" t="s">
        <v>13</v>
      </c>
      <c r="I424" t="s">
        <v>551</v>
      </c>
      <c r="J424" t="s">
        <v>45</v>
      </c>
      <c r="K424">
        <f>YEAR(D424)</f>
        <v>2024</v>
      </c>
      <c r="L424" t="str">
        <f>TEXT(D424,"mmm")</f>
        <v>Jun</v>
      </c>
      <c r="M424" t="str">
        <f>TEXT(D424,"ddd")</f>
        <v>Fri</v>
      </c>
      <c r="N424">
        <f>DATEDIF(D424, E424, "d")</f>
        <v>4</v>
      </c>
      <c r="O424">
        <f>ROUND(Table1[[#This Row],[Unit Price]]*Table1[[#This Row],[Quantity]]*VLOOKUP(C424,Table2[#All],2,FALSE),0)</f>
        <v>976</v>
      </c>
      <c r="P424">
        <f>ROUND(F424*G424,0)</f>
        <v>1775</v>
      </c>
      <c r="Q424">
        <f>ROUND((G424*F424)-O424,0)</f>
        <v>799</v>
      </c>
    </row>
    <row r="425" spans="1:17">
      <c r="A425" t="s">
        <v>610</v>
      </c>
      <c r="B425" t="s">
        <v>23</v>
      </c>
      <c r="C425" t="s">
        <v>35</v>
      </c>
      <c r="D425" s="1">
        <v>45463</v>
      </c>
      <c r="E425" s="1">
        <v>45468</v>
      </c>
      <c r="F425">
        <v>2</v>
      </c>
      <c r="G425">
        <v>20</v>
      </c>
      <c r="H425" t="s">
        <v>27</v>
      </c>
      <c r="I425" t="s">
        <v>547</v>
      </c>
      <c r="J425" t="s">
        <v>18</v>
      </c>
      <c r="K425">
        <f>YEAR(D425)</f>
        <v>2024</v>
      </c>
      <c r="L425" t="str">
        <f>TEXT(D425,"mmm")</f>
        <v>Jun</v>
      </c>
      <c r="M425" t="str">
        <f>TEXT(D425,"ddd")</f>
        <v>Thu</v>
      </c>
      <c r="N425">
        <f>DATEDIF(D425, E425, "d")</f>
        <v>5</v>
      </c>
      <c r="O425">
        <f>ROUND(Table1[[#This Row],[Unit Price]]*Table1[[#This Row],[Quantity]]*VLOOKUP(C425,Table2[#All],2,FALSE),0)</f>
        <v>32</v>
      </c>
      <c r="P425">
        <f>ROUND(F425*G425,0)</f>
        <v>40</v>
      </c>
      <c r="Q425">
        <f>ROUND((G425*F425)-O425,0)</f>
        <v>8</v>
      </c>
    </row>
    <row r="426" spans="1:17">
      <c r="A426" t="s">
        <v>261</v>
      </c>
      <c r="B426" t="s">
        <v>16</v>
      </c>
      <c r="C426" t="s">
        <v>59</v>
      </c>
      <c r="D426" s="1">
        <v>45636</v>
      </c>
      <c r="E426" s="1">
        <v>45645</v>
      </c>
      <c r="F426">
        <v>6</v>
      </c>
      <c r="G426">
        <v>252</v>
      </c>
      <c r="H426" t="s">
        <v>27</v>
      </c>
      <c r="I426" t="s">
        <v>546</v>
      </c>
      <c r="J426" t="s">
        <v>28</v>
      </c>
      <c r="K426">
        <f>YEAR(D426)</f>
        <v>2024</v>
      </c>
      <c r="L426" t="str">
        <f>TEXT(D426,"mmm")</f>
        <v>Dec</v>
      </c>
      <c r="M426" t="str">
        <f>TEXT(D426,"ddd")</f>
        <v>Tue</v>
      </c>
      <c r="N426">
        <f>DATEDIF(D426, E426, "d")</f>
        <v>9</v>
      </c>
      <c r="O426">
        <f>ROUND(Table1[[#This Row],[Unit Price]]*Table1[[#This Row],[Quantity]]*VLOOKUP(C426,Table2[#All],2,FALSE),0)</f>
        <v>983</v>
      </c>
      <c r="P426">
        <f>ROUND(F426*G426,0)</f>
        <v>1512</v>
      </c>
      <c r="Q426">
        <f>ROUND((G426*F426)-O426,0)</f>
        <v>529</v>
      </c>
    </row>
    <row r="427" spans="1:17">
      <c r="A427" t="s">
        <v>498</v>
      </c>
      <c r="B427" t="s">
        <v>11</v>
      </c>
      <c r="C427" t="s">
        <v>12</v>
      </c>
      <c r="D427" s="1">
        <v>45834</v>
      </c>
      <c r="E427" s="1">
        <v>45838</v>
      </c>
      <c r="F427">
        <v>1</v>
      </c>
      <c r="G427">
        <v>934</v>
      </c>
      <c r="H427" t="s">
        <v>13</v>
      </c>
      <c r="I427" t="s">
        <v>32</v>
      </c>
      <c r="J427" t="s">
        <v>14</v>
      </c>
      <c r="K427">
        <f>YEAR(D427)</f>
        <v>2025</v>
      </c>
      <c r="L427" t="str">
        <f>TEXT(D427,"mmm")</f>
        <v>Jun</v>
      </c>
      <c r="M427" t="str">
        <f>TEXT(D427,"ddd")</f>
        <v>Thu</v>
      </c>
      <c r="N427">
        <f>DATEDIF(D427, E427, "d")</f>
        <v>4</v>
      </c>
      <c r="O427">
        <f>ROUND(Table1[[#This Row],[Unit Price]]*Table1[[#This Row],[Quantity]]*VLOOKUP(C427,Table2[#All],2,FALSE),0)</f>
        <v>701</v>
      </c>
      <c r="P427">
        <f>ROUND(F427*G427,0)</f>
        <v>934</v>
      </c>
      <c r="Q427">
        <f>ROUND((G427*F427)-O427,0)</f>
        <v>233</v>
      </c>
    </row>
    <row r="428" spans="1:17">
      <c r="A428" t="s">
        <v>500</v>
      </c>
      <c r="B428" t="s">
        <v>30</v>
      </c>
      <c r="C428" t="s">
        <v>31</v>
      </c>
      <c r="D428" s="1">
        <v>45917</v>
      </c>
      <c r="E428" s="1">
        <v>45923</v>
      </c>
      <c r="F428">
        <v>1</v>
      </c>
      <c r="G428">
        <v>805</v>
      </c>
      <c r="H428" t="s">
        <v>27</v>
      </c>
      <c r="I428" t="s">
        <v>548</v>
      </c>
      <c r="J428" t="s">
        <v>28</v>
      </c>
      <c r="K428">
        <f>YEAR(D428)</f>
        <v>2025</v>
      </c>
      <c r="L428" t="str">
        <f>TEXT(D428,"mmm")</f>
        <v>Sep</v>
      </c>
      <c r="M428" t="str">
        <f>TEXT(D428,"ddd")</f>
        <v>Wed</v>
      </c>
      <c r="N428">
        <f>DATEDIF(D428, E428, "d")</f>
        <v>6</v>
      </c>
      <c r="O428">
        <f>ROUND(Table1[[#This Row],[Unit Price]]*Table1[[#This Row],[Quantity]]*VLOOKUP(C428,Table2[#All],2,FALSE),0)</f>
        <v>604</v>
      </c>
      <c r="P428">
        <f>ROUND(F428*G428,0)</f>
        <v>805</v>
      </c>
      <c r="Q428">
        <f>ROUND((G428*F428)-O428,0)</f>
        <v>201</v>
      </c>
    </row>
    <row r="429" spans="1:17">
      <c r="A429" t="s">
        <v>441</v>
      </c>
      <c r="B429" t="s">
        <v>16</v>
      </c>
      <c r="C429" t="s">
        <v>55</v>
      </c>
      <c r="D429" s="1">
        <v>45774</v>
      </c>
      <c r="E429" s="1">
        <v>45781</v>
      </c>
      <c r="F429">
        <v>1</v>
      </c>
      <c r="G429">
        <v>692</v>
      </c>
      <c r="H429" t="s">
        <v>27</v>
      </c>
      <c r="I429" t="s">
        <v>549</v>
      </c>
      <c r="J429" t="s">
        <v>18</v>
      </c>
      <c r="K429">
        <f>YEAR(D429)</f>
        <v>2025</v>
      </c>
      <c r="L429" t="str">
        <f>TEXT(D429,"mmm")</f>
        <v>Apr</v>
      </c>
      <c r="M429" t="str">
        <f>TEXT(D429,"ddd")</f>
        <v>Sun</v>
      </c>
      <c r="N429">
        <f>DATEDIF(D429, E429, "d")</f>
        <v>7</v>
      </c>
      <c r="O429">
        <f>ROUND(Table1[[#This Row],[Unit Price]]*Table1[[#This Row],[Quantity]]*VLOOKUP(C429,Table2[#All],2,FALSE),0)</f>
        <v>381</v>
      </c>
      <c r="P429">
        <f>ROUND(F429*G429,0)</f>
        <v>692</v>
      </c>
      <c r="Q429">
        <f>ROUND((G429*F429)-O429,0)</f>
        <v>311</v>
      </c>
    </row>
    <row r="430" spans="1:17">
      <c r="A430" t="s">
        <v>129</v>
      </c>
      <c r="B430" t="s">
        <v>16</v>
      </c>
      <c r="C430" t="s">
        <v>55</v>
      </c>
      <c r="D430" s="1">
        <v>45516</v>
      </c>
      <c r="E430" s="1">
        <v>45521</v>
      </c>
      <c r="F430">
        <v>2</v>
      </c>
      <c r="G430">
        <v>489</v>
      </c>
      <c r="H430" t="s">
        <v>27</v>
      </c>
      <c r="I430" t="s">
        <v>32</v>
      </c>
      <c r="J430" t="s">
        <v>28</v>
      </c>
      <c r="K430">
        <f>YEAR(D430)</f>
        <v>2024</v>
      </c>
      <c r="L430" t="str">
        <f>TEXT(D430,"mmm")</f>
        <v>Aug</v>
      </c>
      <c r="M430" t="str">
        <f>TEXT(D430,"ddd")</f>
        <v>Mon</v>
      </c>
      <c r="N430">
        <f>DATEDIF(D430, E430, "d")</f>
        <v>5</v>
      </c>
      <c r="O430">
        <f>ROUND(Table1[[#This Row],[Unit Price]]*Table1[[#This Row],[Quantity]]*VLOOKUP(C430,Table2[#All],2,FALSE),0)</f>
        <v>538</v>
      </c>
      <c r="P430">
        <f>ROUND(F430*G430,0)</f>
        <v>978</v>
      </c>
      <c r="Q430">
        <f>ROUND((G430*F430)-O430,0)</f>
        <v>440</v>
      </c>
    </row>
    <row r="431" spans="1:17">
      <c r="A431" t="s">
        <v>146</v>
      </c>
      <c r="B431" t="s">
        <v>11</v>
      </c>
      <c r="C431" t="s">
        <v>95</v>
      </c>
      <c r="D431" s="1">
        <v>45320</v>
      </c>
      <c r="E431" s="1">
        <v>45327</v>
      </c>
      <c r="F431">
        <v>5</v>
      </c>
      <c r="G431">
        <v>377</v>
      </c>
      <c r="H431" t="s">
        <v>13</v>
      </c>
      <c r="I431" t="s">
        <v>546</v>
      </c>
      <c r="J431" t="s">
        <v>18</v>
      </c>
      <c r="K431">
        <f>YEAR(D431)</f>
        <v>2024</v>
      </c>
      <c r="L431" t="str">
        <f>TEXT(D431,"mmm")</f>
        <v>Jan</v>
      </c>
      <c r="M431" t="str">
        <f>TEXT(D431,"ddd")</f>
        <v>Mon</v>
      </c>
      <c r="N431">
        <f>DATEDIF(D431, E431, "d")</f>
        <v>7</v>
      </c>
      <c r="O431">
        <f>ROUND(Table1[[#This Row],[Unit Price]]*Table1[[#This Row],[Quantity]]*VLOOKUP(C431,Table2[#All],2,FALSE),0)</f>
        <v>1320</v>
      </c>
      <c r="P431">
        <f>ROUND(F431*G431,0)</f>
        <v>1885</v>
      </c>
      <c r="Q431">
        <f>ROUND((G431*F431)-O431,0)</f>
        <v>565</v>
      </c>
    </row>
    <row r="432" spans="1:17">
      <c r="A432" t="s">
        <v>54</v>
      </c>
      <c r="B432" t="s">
        <v>16</v>
      </c>
      <c r="C432" t="s">
        <v>55</v>
      </c>
      <c r="D432" s="1">
        <v>45542</v>
      </c>
      <c r="E432" s="1">
        <v>45552</v>
      </c>
      <c r="F432">
        <v>1</v>
      </c>
      <c r="G432">
        <v>124</v>
      </c>
      <c r="H432" t="s">
        <v>13</v>
      </c>
      <c r="I432" t="s">
        <v>546</v>
      </c>
      <c r="J432" t="s">
        <v>14</v>
      </c>
      <c r="K432">
        <f>YEAR(D432)</f>
        <v>2024</v>
      </c>
      <c r="L432" t="str">
        <f>TEXT(D432,"mmm")</f>
        <v>Sep</v>
      </c>
      <c r="M432" t="str">
        <f>TEXT(D432,"ddd")</f>
        <v>Sat</v>
      </c>
      <c r="N432">
        <f>DATEDIF(D432, E432, "d")</f>
        <v>10</v>
      </c>
      <c r="O432">
        <f>ROUND(Table1[[#This Row],[Unit Price]]*Table1[[#This Row],[Quantity]]*VLOOKUP(C432,Table2[#All],2,FALSE),0)</f>
        <v>68</v>
      </c>
      <c r="P432">
        <f>ROUND(F432*G432,0)</f>
        <v>124</v>
      </c>
      <c r="Q432">
        <f>ROUND((G432*F432)-O432,0)</f>
        <v>56</v>
      </c>
    </row>
    <row r="433" spans="1:17">
      <c r="A433" t="s">
        <v>54</v>
      </c>
      <c r="B433" t="s">
        <v>20</v>
      </c>
      <c r="C433" t="s">
        <v>53</v>
      </c>
      <c r="D433" s="1">
        <v>45800</v>
      </c>
      <c r="E433" s="1">
        <v>45803</v>
      </c>
      <c r="F433">
        <v>4</v>
      </c>
      <c r="G433">
        <v>740</v>
      </c>
      <c r="H433" t="s">
        <v>13</v>
      </c>
      <c r="I433" t="s">
        <v>548</v>
      </c>
      <c r="J433" t="s">
        <v>28</v>
      </c>
      <c r="K433">
        <f>YEAR(D433)</f>
        <v>2025</v>
      </c>
      <c r="L433" t="str">
        <f>TEXT(D433,"mmm")</f>
        <v>May</v>
      </c>
      <c r="M433" t="str">
        <f>TEXT(D433,"ddd")</f>
        <v>Fri</v>
      </c>
      <c r="N433">
        <f>DATEDIF(D433, E433, "d")</f>
        <v>3</v>
      </c>
      <c r="O433">
        <f>ROUND(Table1[[#This Row],[Unit Price]]*Table1[[#This Row],[Quantity]]*VLOOKUP(C433,Table2[#All],2,FALSE),0)</f>
        <v>2072</v>
      </c>
      <c r="P433">
        <f>ROUND(F433*G433,0)</f>
        <v>2960</v>
      </c>
      <c r="Q433">
        <f>ROUND((G433*F433)-O433,0)</f>
        <v>888</v>
      </c>
    </row>
    <row r="434" spans="1:17">
      <c r="A434" t="s">
        <v>400</v>
      </c>
      <c r="B434" t="s">
        <v>23</v>
      </c>
      <c r="C434" t="s">
        <v>24</v>
      </c>
      <c r="D434" s="1">
        <v>45863</v>
      </c>
      <c r="E434" s="1">
        <v>45868</v>
      </c>
      <c r="F434">
        <v>4</v>
      </c>
      <c r="G434">
        <v>176</v>
      </c>
      <c r="H434" t="s">
        <v>27</v>
      </c>
      <c r="I434" t="s">
        <v>550</v>
      </c>
      <c r="J434" t="s">
        <v>28</v>
      </c>
      <c r="K434">
        <f>YEAR(D434)</f>
        <v>2025</v>
      </c>
      <c r="L434" t="str">
        <f>TEXT(D434,"mmm")</f>
        <v>Jul</v>
      </c>
      <c r="M434" t="str">
        <f>TEXT(D434,"ddd")</f>
        <v>Fri</v>
      </c>
      <c r="N434">
        <f>DATEDIF(D434, E434, "d")</f>
        <v>5</v>
      </c>
      <c r="O434">
        <f>ROUND(Table1[[#This Row],[Unit Price]]*Table1[[#This Row],[Quantity]]*VLOOKUP(C434,Table2[#All],2,FALSE),0)</f>
        <v>387</v>
      </c>
      <c r="P434">
        <f>ROUND(F434*G434,0)</f>
        <v>704</v>
      </c>
      <c r="Q434">
        <f>ROUND((G434*F434)-O434,0)</f>
        <v>317</v>
      </c>
    </row>
    <row r="435" spans="1:17">
      <c r="A435" t="s">
        <v>456</v>
      </c>
      <c r="B435" t="s">
        <v>30</v>
      </c>
      <c r="C435" t="s">
        <v>75</v>
      </c>
      <c r="D435" s="1">
        <v>45926</v>
      </c>
      <c r="E435" s="1">
        <v>45934</v>
      </c>
      <c r="F435">
        <v>9</v>
      </c>
      <c r="G435">
        <v>286</v>
      </c>
      <c r="H435" t="s">
        <v>27</v>
      </c>
      <c r="I435" t="s">
        <v>32</v>
      </c>
      <c r="J435" t="s">
        <v>45</v>
      </c>
      <c r="K435">
        <f>YEAR(D435)</f>
        <v>2025</v>
      </c>
      <c r="L435" t="str">
        <f>TEXT(D435,"mmm")</f>
        <v>Sep</v>
      </c>
      <c r="M435" t="str">
        <f>TEXT(D435,"ddd")</f>
        <v>Fri</v>
      </c>
      <c r="N435">
        <f>DATEDIF(D435, E435, "d")</f>
        <v>8</v>
      </c>
      <c r="O435">
        <f>ROUND(Table1[[#This Row],[Unit Price]]*Table1[[#This Row],[Quantity]]*VLOOKUP(C435,Table2[#All],2,FALSE),0)</f>
        <v>1931</v>
      </c>
      <c r="P435">
        <f>ROUND(F435*G435,0)</f>
        <v>2574</v>
      </c>
      <c r="Q435">
        <f>ROUND((G435*F435)-O435,0)</f>
        <v>643</v>
      </c>
    </row>
    <row r="436" spans="1:17">
      <c r="A436" t="s">
        <v>442</v>
      </c>
      <c r="B436" t="s">
        <v>16</v>
      </c>
      <c r="C436" t="s">
        <v>63</v>
      </c>
      <c r="D436" s="1">
        <v>45861</v>
      </c>
      <c r="E436" s="1">
        <v>45869</v>
      </c>
      <c r="F436">
        <v>6</v>
      </c>
      <c r="G436">
        <v>366</v>
      </c>
      <c r="H436" t="s">
        <v>13</v>
      </c>
      <c r="I436" t="s">
        <v>550</v>
      </c>
      <c r="J436" t="s">
        <v>45</v>
      </c>
      <c r="K436">
        <f>YEAR(D436)</f>
        <v>2025</v>
      </c>
      <c r="L436" t="str">
        <f>TEXT(D436,"mmm")</f>
        <v>Jul</v>
      </c>
      <c r="M436" t="str">
        <f>TEXT(D436,"ddd")</f>
        <v>Wed</v>
      </c>
      <c r="N436">
        <f>DATEDIF(D436, E436, "d")</f>
        <v>8</v>
      </c>
      <c r="O436">
        <f>ROUND(Table1[[#This Row],[Unit Price]]*Table1[[#This Row],[Quantity]]*VLOOKUP(C436,Table2[#All],2,FALSE),0)</f>
        <v>1098</v>
      </c>
      <c r="P436">
        <f>ROUND(F436*G436,0)</f>
        <v>2196</v>
      </c>
      <c r="Q436">
        <f>ROUND((G436*F436)-O436,0)</f>
        <v>1098</v>
      </c>
    </row>
    <row r="437" spans="1:17">
      <c r="A437" t="s">
        <v>614</v>
      </c>
      <c r="B437" t="s">
        <v>16</v>
      </c>
      <c r="C437" t="s">
        <v>55</v>
      </c>
      <c r="D437" s="1">
        <v>45368</v>
      </c>
      <c r="E437" s="1">
        <v>45371</v>
      </c>
      <c r="F437">
        <v>1</v>
      </c>
      <c r="G437">
        <v>100</v>
      </c>
      <c r="H437">
        <v>0</v>
      </c>
      <c r="I437" t="s">
        <v>551</v>
      </c>
      <c r="J437" t="s">
        <v>45</v>
      </c>
      <c r="K437">
        <f>YEAR(D437)</f>
        <v>2024</v>
      </c>
      <c r="L437" t="str">
        <f>TEXT(D437,"mmm")</f>
        <v>Mar</v>
      </c>
      <c r="M437" t="str">
        <f>TEXT(D437,"ddd")</f>
        <v>Sun</v>
      </c>
      <c r="N437">
        <f>DATEDIF(D437, E437, "d")</f>
        <v>3</v>
      </c>
      <c r="O437">
        <f>ROUND(Table1[[#This Row],[Unit Price]]*Table1[[#This Row],[Quantity]]*VLOOKUP(C437,Table2[#All],2,FALSE),0)</f>
        <v>55</v>
      </c>
      <c r="P437">
        <f>ROUND(F437*G437,0)</f>
        <v>100</v>
      </c>
      <c r="Q437">
        <f>ROUND((G437*F437)-O437,0)</f>
        <v>45</v>
      </c>
    </row>
    <row r="438" spans="1:17">
      <c r="A438" t="s">
        <v>333</v>
      </c>
      <c r="B438" t="s">
        <v>11</v>
      </c>
      <c r="C438" t="s">
        <v>57</v>
      </c>
      <c r="D438" s="1">
        <v>45651</v>
      </c>
      <c r="E438" s="1">
        <v>45658</v>
      </c>
      <c r="F438">
        <v>1</v>
      </c>
      <c r="G438">
        <v>177</v>
      </c>
      <c r="H438" t="s">
        <v>27</v>
      </c>
      <c r="I438" t="s">
        <v>549</v>
      </c>
      <c r="J438" t="s">
        <v>18</v>
      </c>
      <c r="K438">
        <f>YEAR(D438)</f>
        <v>2024</v>
      </c>
      <c r="L438" t="str">
        <f>TEXT(D438,"mmm")</f>
        <v>Dec</v>
      </c>
      <c r="M438" t="str">
        <f>TEXT(D438,"ddd")</f>
        <v>Wed</v>
      </c>
      <c r="N438">
        <f>DATEDIF(D438, E438, "d")</f>
        <v>7</v>
      </c>
      <c r="O438">
        <f>ROUND(Table1[[#This Row],[Unit Price]]*Table1[[#This Row],[Quantity]]*VLOOKUP(C438,Table2[#All],2,FALSE),0)</f>
        <v>150</v>
      </c>
      <c r="P438">
        <f>ROUND(F438*G438,0)</f>
        <v>177</v>
      </c>
      <c r="Q438">
        <f>ROUND((G438*F438)-O438,0)</f>
        <v>27</v>
      </c>
    </row>
    <row r="439" spans="1:17">
      <c r="A439" t="s">
        <v>205</v>
      </c>
      <c r="B439" t="s">
        <v>20</v>
      </c>
      <c r="C439" t="s">
        <v>39</v>
      </c>
      <c r="D439" s="1">
        <v>45589</v>
      </c>
      <c r="E439" s="1">
        <v>45608</v>
      </c>
      <c r="F439">
        <v>6</v>
      </c>
      <c r="G439">
        <v>146</v>
      </c>
      <c r="H439" t="s">
        <v>27</v>
      </c>
      <c r="I439" t="s">
        <v>550</v>
      </c>
      <c r="J439" t="s">
        <v>18</v>
      </c>
      <c r="K439">
        <f>YEAR(D439)</f>
        <v>2024</v>
      </c>
      <c r="L439" t="str">
        <f>TEXT(D439,"mmm")</f>
        <v>Oct</v>
      </c>
      <c r="M439" t="str">
        <f>TEXT(D439,"ddd")</f>
        <v>Thu</v>
      </c>
      <c r="N439">
        <f>DATEDIF(D439, E439, "d")</f>
        <v>19</v>
      </c>
      <c r="O439">
        <f>ROUND(Table1[[#This Row],[Unit Price]]*Table1[[#This Row],[Quantity]]*VLOOKUP(C439,Table2[#All],2,FALSE),0)</f>
        <v>569</v>
      </c>
      <c r="P439">
        <f>ROUND(F439*G439,0)</f>
        <v>876</v>
      </c>
      <c r="Q439">
        <f>ROUND((G439*F439)-O439,0)</f>
        <v>307</v>
      </c>
    </row>
    <row r="440" spans="1:17">
      <c r="A440" t="s">
        <v>533</v>
      </c>
      <c r="B440" t="s">
        <v>20</v>
      </c>
      <c r="C440" t="s">
        <v>53</v>
      </c>
      <c r="D440" s="1">
        <v>45698</v>
      </c>
      <c r="E440" s="1">
        <v>45699</v>
      </c>
      <c r="F440">
        <v>3</v>
      </c>
      <c r="G440">
        <v>288</v>
      </c>
      <c r="H440" t="s">
        <v>13</v>
      </c>
      <c r="I440" t="s">
        <v>550</v>
      </c>
      <c r="J440" t="s">
        <v>45</v>
      </c>
      <c r="K440">
        <f>YEAR(D440)</f>
        <v>2025</v>
      </c>
      <c r="L440" t="str">
        <f>TEXT(D440,"mmm")</f>
        <v>Feb</v>
      </c>
      <c r="M440" t="str">
        <f>TEXT(D440,"ddd")</f>
        <v>Mon</v>
      </c>
      <c r="N440">
        <f>DATEDIF(D440, E440, "d")</f>
        <v>1</v>
      </c>
      <c r="O440">
        <f>ROUND(Table1[[#This Row],[Unit Price]]*Table1[[#This Row],[Quantity]]*VLOOKUP(C440,Table2[#All],2,FALSE),0)</f>
        <v>605</v>
      </c>
      <c r="P440">
        <f>ROUND(F440*G440,0)</f>
        <v>864</v>
      </c>
      <c r="Q440">
        <f>ROUND((G440*F440)-O440,0)</f>
        <v>259</v>
      </c>
    </row>
    <row r="441" spans="1:17">
      <c r="A441" t="s">
        <v>537</v>
      </c>
      <c r="B441" t="s">
        <v>30</v>
      </c>
      <c r="C441" t="s">
        <v>75</v>
      </c>
      <c r="D441" s="1">
        <v>46008</v>
      </c>
      <c r="E441" s="1">
        <v>46018</v>
      </c>
      <c r="F441">
        <v>10</v>
      </c>
      <c r="G441">
        <v>172</v>
      </c>
      <c r="H441" t="s">
        <v>13</v>
      </c>
      <c r="I441" t="s">
        <v>32</v>
      </c>
      <c r="J441" t="s">
        <v>18</v>
      </c>
      <c r="K441">
        <f>YEAR(D441)</f>
        <v>2025</v>
      </c>
      <c r="L441" t="str">
        <f>TEXT(D441,"mmm")</f>
        <v>Dec</v>
      </c>
      <c r="M441" t="str">
        <f>TEXT(D441,"ddd")</f>
        <v>Wed</v>
      </c>
      <c r="N441">
        <f>DATEDIF(D441, E441, "d")</f>
        <v>10</v>
      </c>
      <c r="O441">
        <f>ROUND(Table1[[#This Row],[Unit Price]]*Table1[[#This Row],[Quantity]]*VLOOKUP(C441,Table2[#All],2,FALSE),0)</f>
        <v>1290</v>
      </c>
      <c r="P441">
        <f>ROUND(F441*G441,0)</f>
        <v>1720</v>
      </c>
      <c r="Q441">
        <f>ROUND((G441*F441)-O441,0)</f>
        <v>430</v>
      </c>
    </row>
    <row r="442" spans="1:17">
      <c r="A442" t="s">
        <v>219</v>
      </c>
      <c r="B442" t="s">
        <v>16</v>
      </c>
      <c r="C442" t="s">
        <v>59</v>
      </c>
      <c r="D442" s="1">
        <v>45385</v>
      </c>
      <c r="E442" s="1">
        <v>45393</v>
      </c>
      <c r="F442">
        <v>3</v>
      </c>
      <c r="G442">
        <v>453</v>
      </c>
      <c r="H442" t="s">
        <v>13</v>
      </c>
      <c r="I442" t="s">
        <v>32</v>
      </c>
      <c r="J442" t="s">
        <v>28</v>
      </c>
      <c r="K442">
        <f>YEAR(D442)</f>
        <v>2024</v>
      </c>
      <c r="L442" t="str">
        <f>TEXT(D442,"mmm")</f>
        <v>Apr</v>
      </c>
      <c r="M442" t="str">
        <f>TEXT(D442,"ddd")</f>
        <v>Wed</v>
      </c>
      <c r="N442">
        <f>DATEDIF(D442, E442, "d")</f>
        <v>8</v>
      </c>
      <c r="O442">
        <f>ROUND(Table1[[#This Row],[Unit Price]]*Table1[[#This Row],[Quantity]]*VLOOKUP(C442,Table2[#All],2,FALSE),0)</f>
        <v>883</v>
      </c>
      <c r="P442">
        <f>ROUND(F442*G442,0)</f>
        <v>1359</v>
      </c>
      <c r="Q442">
        <f>ROUND((G442*F442)-O442,0)</f>
        <v>476</v>
      </c>
    </row>
    <row r="443" spans="1:17">
      <c r="A443" t="s">
        <v>308</v>
      </c>
      <c r="B443" t="s">
        <v>20</v>
      </c>
      <c r="C443" t="s">
        <v>21</v>
      </c>
      <c r="D443" s="1">
        <v>45581</v>
      </c>
      <c r="E443" s="1">
        <v>45594</v>
      </c>
      <c r="F443">
        <v>8</v>
      </c>
      <c r="G443">
        <v>572</v>
      </c>
      <c r="H443" t="s">
        <v>27</v>
      </c>
      <c r="I443" t="s">
        <v>551</v>
      </c>
      <c r="J443" t="s">
        <v>45</v>
      </c>
      <c r="K443">
        <f>YEAR(D443)</f>
        <v>2024</v>
      </c>
      <c r="L443" t="str">
        <f>TEXT(D443,"mmm")</f>
        <v>Oct</v>
      </c>
      <c r="M443" t="str">
        <f>TEXT(D443,"ddd")</f>
        <v>Wed</v>
      </c>
      <c r="N443">
        <f>DATEDIF(D443, E443, "d")</f>
        <v>13</v>
      </c>
      <c r="O443">
        <f>ROUND(Table1[[#This Row],[Unit Price]]*Table1[[#This Row],[Quantity]]*VLOOKUP(C443,Table2[#All],2,FALSE),0)</f>
        <v>3432</v>
      </c>
      <c r="P443">
        <f>ROUND(F443*G443,0)</f>
        <v>4576</v>
      </c>
      <c r="Q443">
        <f>ROUND((G443*F443)-O443,0)</f>
        <v>1144</v>
      </c>
    </row>
    <row r="444" spans="1:17">
      <c r="A444" t="s">
        <v>362</v>
      </c>
      <c r="B444" t="s">
        <v>16</v>
      </c>
      <c r="C444" t="s">
        <v>63</v>
      </c>
      <c r="D444" s="1">
        <v>45835</v>
      </c>
      <c r="E444" s="1">
        <v>45840</v>
      </c>
      <c r="F444">
        <v>3</v>
      </c>
      <c r="G444">
        <v>179</v>
      </c>
      <c r="H444" t="s">
        <v>13</v>
      </c>
      <c r="I444" t="s">
        <v>548</v>
      </c>
      <c r="J444" t="s">
        <v>45</v>
      </c>
      <c r="K444">
        <f>YEAR(D444)</f>
        <v>2025</v>
      </c>
      <c r="L444" t="str">
        <f>TEXT(D444,"mmm")</f>
        <v>Jun</v>
      </c>
      <c r="M444" t="str">
        <f>TEXT(D444,"ddd")</f>
        <v>Fri</v>
      </c>
      <c r="N444">
        <f>DATEDIF(D444, E444, "d")</f>
        <v>5</v>
      </c>
      <c r="O444">
        <f>ROUND(Table1[[#This Row],[Unit Price]]*Table1[[#This Row],[Quantity]]*VLOOKUP(C444,Table2[#All],2,FALSE),0)</f>
        <v>269</v>
      </c>
      <c r="P444">
        <f>ROUND(F444*G444,0)</f>
        <v>537</v>
      </c>
      <c r="Q444">
        <f>ROUND((G444*F444)-O444,0)</f>
        <v>268</v>
      </c>
    </row>
    <row r="445" spans="1:17">
      <c r="A445" t="s">
        <v>86</v>
      </c>
      <c r="B445" t="s">
        <v>16</v>
      </c>
      <c r="C445" t="s">
        <v>63</v>
      </c>
      <c r="D445" s="1">
        <v>45512</v>
      </c>
      <c r="E445" s="1">
        <v>45516</v>
      </c>
      <c r="F445">
        <v>3</v>
      </c>
      <c r="G445">
        <v>52</v>
      </c>
      <c r="H445" t="s">
        <v>13</v>
      </c>
      <c r="I445" t="s">
        <v>546</v>
      </c>
      <c r="J445" t="s">
        <v>45</v>
      </c>
      <c r="K445">
        <f>YEAR(D445)</f>
        <v>2024</v>
      </c>
      <c r="L445" t="str">
        <f>TEXT(D445,"mmm")</f>
        <v>Aug</v>
      </c>
      <c r="M445" t="str">
        <f>TEXT(D445,"ddd")</f>
        <v>Thu</v>
      </c>
      <c r="N445">
        <f>DATEDIF(D445, E445, "d")</f>
        <v>4</v>
      </c>
      <c r="O445">
        <f>ROUND(Table1[[#This Row],[Unit Price]]*Table1[[#This Row],[Quantity]]*VLOOKUP(C445,Table2[#All],2,FALSE),0)</f>
        <v>78</v>
      </c>
      <c r="P445">
        <f>ROUND(F445*G445,0)</f>
        <v>156</v>
      </c>
      <c r="Q445">
        <f>ROUND((G445*F445)-O445,0)</f>
        <v>78</v>
      </c>
    </row>
    <row r="446" spans="1:17">
      <c r="A446" t="s">
        <v>86</v>
      </c>
      <c r="B446" t="s">
        <v>16</v>
      </c>
      <c r="C446" t="s">
        <v>43</v>
      </c>
      <c r="D446" s="1">
        <v>46009</v>
      </c>
      <c r="E446" s="1">
        <v>46018</v>
      </c>
      <c r="F446">
        <v>7</v>
      </c>
      <c r="G446">
        <v>481</v>
      </c>
      <c r="H446" t="s">
        <v>27</v>
      </c>
      <c r="I446" t="s">
        <v>548</v>
      </c>
      <c r="J446" t="s">
        <v>45</v>
      </c>
      <c r="K446">
        <f>YEAR(D446)</f>
        <v>2025</v>
      </c>
      <c r="L446" t="str">
        <f>TEXT(D446,"mmm")</f>
        <v>Dec</v>
      </c>
      <c r="M446" t="str">
        <f>TEXT(D446,"ddd")</f>
        <v>Thu</v>
      </c>
      <c r="N446">
        <f>DATEDIF(D446, E446, "d")</f>
        <v>9</v>
      </c>
      <c r="O446">
        <f>ROUND(Table1[[#This Row],[Unit Price]]*Table1[[#This Row],[Quantity]]*VLOOKUP(C446,Table2[#All],2,FALSE),0)</f>
        <v>2020</v>
      </c>
      <c r="P446">
        <f>ROUND(F446*G446,0)</f>
        <v>3367</v>
      </c>
      <c r="Q446">
        <f>ROUND((G446*F446)-O446,0)</f>
        <v>1347</v>
      </c>
    </row>
    <row r="447" spans="1:17">
      <c r="A447" t="s">
        <v>123</v>
      </c>
      <c r="B447" t="s">
        <v>11</v>
      </c>
      <c r="C447" t="s">
        <v>26</v>
      </c>
      <c r="D447" s="1">
        <v>45543</v>
      </c>
      <c r="E447" s="1">
        <v>45556</v>
      </c>
      <c r="F447">
        <v>2</v>
      </c>
      <c r="G447">
        <v>600</v>
      </c>
      <c r="H447" t="s">
        <v>13</v>
      </c>
      <c r="I447" t="s">
        <v>32</v>
      </c>
      <c r="J447" t="s">
        <v>28</v>
      </c>
      <c r="K447">
        <f>YEAR(D447)</f>
        <v>2024</v>
      </c>
      <c r="L447" t="str">
        <f>TEXT(D447,"mmm")</f>
        <v>Sep</v>
      </c>
      <c r="M447" t="str">
        <f>TEXT(D447,"ddd")</f>
        <v>Sun</v>
      </c>
      <c r="N447">
        <f>DATEDIF(D447, E447, "d")</f>
        <v>13</v>
      </c>
      <c r="O447">
        <f>ROUND(Table1[[#This Row],[Unit Price]]*Table1[[#This Row],[Quantity]]*VLOOKUP(C447,Table2[#All],2,FALSE),0)</f>
        <v>780</v>
      </c>
      <c r="P447">
        <f>ROUND(F447*G447,0)</f>
        <v>1200</v>
      </c>
      <c r="Q447">
        <f>ROUND((G447*F447)-O447,0)</f>
        <v>420</v>
      </c>
    </row>
    <row r="448" spans="1:17">
      <c r="A448" t="s">
        <v>545</v>
      </c>
      <c r="B448" t="s">
        <v>16</v>
      </c>
      <c r="C448" t="s">
        <v>17</v>
      </c>
      <c r="D448" s="1">
        <v>45897</v>
      </c>
      <c r="E448" s="1">
        <v>45905</v>
      </c>
      <c r="F448">
        <v>10</v>
      </c>
      <c r="G448">
        <v>509</v>
      </c>
      <c r="H448" t="s">
        <v>27</v>
      </c>
      <c r="I448" t="s">
        <v>546</v>
      </c>
      <c r="J448" t="s">
        <v>14</v>
      </c>
      <c r="K448">
        <f>YEAR(D448)</f>
        <v>2025</v>
      </c>
      <c r="L448" t="str">
        <f>TEXT(D448,"mmm")</f>
        <v>Aug</v>
      </c>
      <c r="M448" t="str">
        <f>TEXT(D448,"ddd")</f>
        <v>Thu</v>
      </c>
      <c r="N448">
        <f>DATEDIF(D448, E448, "d")</f>
        <v>8</v>
      </c>
      <c r="O448">
        <f>ROUND(Table1[[#This Row],[Unit Price]]*Table1[[#This Row],[Quantity]]*VLOOKUP(C448,Table2[#All],2,FALSE),0)</f>
        <v>2545</v>
      </c>
      <c r="P448">
        <f>ROUND(F448*G448,0)</f>
        <v>5090</v>
      </c>
      <c r="Q448">
        <f>ROUND((G448*F448)-O448,0)</f>
        <v>2545</v>
      </c>
    </row>
    <row r="449" spans="1:17">
      <c r="A449" t="s">
        <v>139</v>
      </c>
      <c r="B449" t="s">
        <v>20</v>
      </c>
      <c r="C449" t="s">
        <v>21</v>
      </c>
      <c r="D449" s="1">
        <v>45574</v>
      </c>
      <c r="E449" s="1">
        <v>45581</v>
      </c>
      <c r="F449">
        <v>3</v>
      </c>
      <c r="G449">
        <v>402</v>
      </c>
      <c r="H449" t="s">
        <v>27</v>
      </c>
      <c r="I449" t="s">
        <v>550</v>
      </c>
      <c r="J449" t="s">
        <v>45</v>
      </c>
      <c r="K449">
        <f>YEAR(D449)</f>
        <v>2024</v>
      </c>
      <c r="L449" t="str">
        <f>TEXT(D449,"mmm")</f>
        <v>Oct</v>
      </c>
      <c r="M449" t="str">
        <f>TEXT(D449,"ddd")</f>
        <v>Wed</v>
      </c>
      <c r="N449">
        <f>DATEDIF(D449, E449, "d")</f>
        <v>7</v>
      </c>
      <c r="O449">
        <f>ROUND(Table1[[#This Row],[Unit Price]]*Table1[[#This Row],[Quantity]]*VLOOKUP(C449,Table2[#All],2,FALSE),0)</f>
        <v>905</v>
      </c>
      <c r="P449">
        <f>ROUND(F449*G449,0)</f>
        <v>1206</v>
      </c>
      <c r="Q449">
        <f>ROUND((G449*F449)-O449,0)</f>
        <v>301</v>
      </c>
    </row>
    <row r="450" spans="1:17">
      <c r="A450" t="s">
        <v>373</v>
      </c>
      <c r="B450" t="s">
        <v>20</v>
      </c>
      <c r="C450" t="s">
        <v>39</v>
      </c>
      <c r="D450" s="1">
        <v>46004</v>
      </c>
      <c r="E450" s="1">
        <v>46019</v>
      </c>
      <c r="F450">
        <v>3</v>
      </c>
      <c r="G450">
        <v>744</v>
      </c>
      <c r="H450" t="s">
        <v>27</v>
      </c>
      <c r="I450" t="s">
        <v>546</v>
      </c>
      <c r="J450" t="s">
        <v>45</v>
      </c>
      <c r="K450">
        <f>YEAR(D450)</f>
        <v>2025</v>
      </c>
      <c r="L450" t="str">
        <f>TEXT(D450,"mmm")</f>
        <v>Dec</v>
      </c>
      <c r="M450" t="str">
        <f>TEXT(D450,"ddd")</f>
        <v>Sat</v>
      </c>
      <c r="N450">
        <f>DATEDIF(D450, E450, "d")</f>
        <v>15</v>
      </c>
      <c r="O450">
        <f>ROUND(Table1[[#This Row],[Unit Price]]*Table1[[#This Row],[Quantity]]*VLOOKUP(C450,Table2[#All],2,FALSE),0)</f>
        <v>1451</v>
      </c>
      <c r="P450">
        <f>ROUND(F450*G450,0)</f>
        <v>2232</v>
      </c>
      <c r="Q450">
        <f>ROUND((G450*F450)-O450,0)</f>
        <v>781</v>
      </c>
    </row>
    <row r="451" spans="1:17">
      <c r="A451" t="s">
        <v>387</v>
      </c>
      <c r="B451" t="s">
        <v>23</v>
      </c>
      <c r="C451" t="s">
        <v>37</v>
      </c>
      <c r="D451" s="1">
        <v>45757</v>
      </c>
      <c r="E451" s="1">
        <v>45765</v>
      </c>
      <c r="F451">
        <v>10</v>
      </c>
      <c r="G451">
        <v>923</v>
      </c>
      <c r="H451" t="s">
        <v>13</v>
      </c>
      <c r="I451" t="s">
        <v>548</v>
      </c>
      <c r="J451" t="s">
        <v>28</v>
      </c>
      <c r="K451">
        <f>YEAR(D451)</f>
        <v>2025</v>
      </c>
      <c r="L451" t="str">
        <f>TEXT(D451,"mmm")</f>
        <v>Apr</v>
      </c>
      <c r="M451" t="str">
        <f>TEXT(D451,"ddd")</f>
        <v>Thu</v>
      </c>
      <c r="N451">
        <f>DATEDIF(D451, E451, "d")</f>
        <v>8</v>
      </c>
      <c r="O451">
        <f>ROUND(Table1[[#This Row],[Unit Price]]*Table1[[#This Row],[Quantity]]*VLOOKUP(C451,Table2[#All],2,FALSE),0)</f>
        <v>4615</v>
      </c>
      <c r="P451">
        <f>ROUND(F451*G451,0)</f>
        <v>9230</v>
      </c>
      <c r="Q451">
        <f>ROUND((G451*F451)-O451,0)</f>
        <v>4615</v>
      </c>
    </row>
    <row r="452" spans="1:17">
      <c r="A452" t="s">
        <v>516</v>
      </c>
      <c r="B452" t="s">
        <v>30</v>
      </c>
      <c r="C452" t="s">
        <v>31</v>
      </c>
      <c r="D452" s="1">
        <v>46012</v>
      </c>
      <c r="E452" s="1">
        <v>46015</v>
      </c>
      <c r="F452">
        <v>8</v>
      </c>
      <c r="G452">
        <v>189</v>
      </c>
      <c r="H452" t="s">
        <v>13</v>
      </c>
      <c r="I452" t="s">
        <v>550</v>
      </c>
      <c r="J452" t="s">
        <v>28</v>
      </c>
      <c r="K452">
        <f>YEAR(D452)</f>
        <v>2025</v>
      </c>
      <c r="L452" t="str">
        <f>TEXT(D452,"mmm")</f>
        <v>Dec</v>
      </c>
      <c r="M452" t="str">
        <f>TEXT(D452,"ddd")</f>
        <v>Sun</v>
      </c>
      <c r="N452">
        <f>DATEDIF(D452, E452, "d")</f>
        <v>3</v>
      </c>
      <c r="O452">
        <f>ROUND(Table1[[#This Row],[Unit Price]]*Table1[[#This Row],[Quantity]]*VLOOKUP(C452,Table2[#All],2,FALSE),0)</f>
        <v>1134</v>
      </c>
      <c r="P452">
        <f>ROUND(F452*G452,0)</f>
        <v>1512</v>
      </c>
      <c r="Q452">
        <f>ROUND((G452*F452)-O452,0)</f>
        <v>378</v>
      </c>
    </row>
    <row r="453" spans="1:17">
      <c r="A453" t="s">
        <v>421</v>
      </c>
      <c r="B453" t="s">
        <v>20</v>
      </c>
      <c r="C453" t="s">
        <v>53</v>
      </c>
      <c r="D453" s="1">
        <v>45905</v>
      </c>
      <c r="E453" s="1">
        <v>45907</v>
      </c>
      <c r="F453">
        <v>6</v>
      </c>
      <c r="G453">
        <v>117</v>
      </c>
      <c r="H453" t="s">
        <v>13</v>
      </c>
      <c r="I453" t="s">
        <v>546</v>
      </c>
      <c r="J453" t="s">
        <v>14</v>
      </c>
      <c r="K453">
        <f>YEAR(D453)</f>
        <v>2025</v>
      </c>
      <c r="L453" t="str">
        <f>TEXT(D453,"mmm")</f>
        <v>Sep</v>
      </c>
      <c r="M453" t="str">
        <f>TEXT(D453,"ddd")</f>
        <v>Fri</v>
      </c>
      <c r="N453">
        <f>DATEDIF(D453, E453, "d")</f>
        <v>2</v>
      </c>
      <c r="O453">
        <f>ROUND(Table1[[#This Row],[Unit Price]]*Table1[[#This Row],[Quantity]]*VLOOKUP(C453,Table2[#All],2,FALSE),0)</f>
        <v>491</v>
      </c>
      <c r="P453">
        <f>ROUND(F453*G453,0)</f>
        <v>702</v>
      </c>
      <c r="Q453">
        <f>ROUND((G453*F453)-O453,0)</f>
        <v>211</v>
      </c>
    </row>
    <row r="454" spans="1:17">
      <c r="A454" t="s">
        <v>107</v>
      </c>
      <c r="B454" t="s">
        <v>11</v>
      </c>
      <c r="C454" t="s">
        <v>12</v>
      </c>
      <c r="D454" s="1">
        <v>45307</v>
      </c>
      <c r="E454" s="1">
        <v>45320</v>
      </c>
      <c r="F454">
        <v>4</v>
      </c>
      <c r="G454">
        <v>214</v>
      </c>
      <c r="H454" t="s">
        <v>27</v>
      </c>
      <c r="I454" t="s">
        <v>548</v>
      </c>
      <c r="J454" t="s">
        <v>14</v>
      </c>
      <c r="K454">
        <f>YEAR(D454)</f>
        <v>2024</v>
      </c>
      <c r="L454" t="str">
        <f>TEXT(D454,"mmm")</f>
        <v>Jan</v>
      </c>
      <c r="M454" t="str">
        <f>TEXT(D454,"ddd")</f>
        <v>Tue</v>
      </c>
      <c r="N454">
        <f>DATEDIF(D454, E454, "d")</f>
        <v>13</v>
      </c>
      <c r="O454">
        <f>ROUND(Table1[[#This Row],[Unit Price]]*Table1[[#This Row],[Quantity]]*VLOOKUP(C454,Table2[#All],2,FALSE),0)</f>
        <v>642</v>
      </c>
      <c r="P454">
        <f>ROUND(F454*G454,0)</f>
        <v>856</v>
      </c>
      <c r="Q454">
        <f>ROUND((G454*F454)-O454,0)</f>
        <v>214</v>
      </c>
    </row>
    <row r="455" spans="1:17">
      <c r="A455" t="s">
        <v>210</v>
      </c>
      <c r="B455" t="s">
        <v>11</v>
      </c>
      <c r="C455" t="s">
        <v>95</v>
      </c>
      <c r="D455" s="1">
        <v>45606</v>
      </c>
      <c r="E455" s="1">
        <v>45620</v>
      </c>
      <c r="F455">
        <v>7</v>
      </c>
      <c r="G455">
        <v>291</v>
      </c>
      <c r="H455" t="s">
        <v>13</v>
      </c>
      <c r="I455" t="s">
        <v>32</v>
      </c>
      <c r="J455" t="s">
        <v>18</v>
      </c>
      <c r="K455">
        <f>YEAR(D455)</f>
        <v>2024</v>
      </c>
      <c r="L455" t="str">
        <f>TEXT(D455,"mmm")</f>
        <v>Nov</v>
      </c>
      <c r="M455" t="str">
        <f>TEXT(D455,"ddd")</f>
        <v>Sun</v>
      </c>
      <c r="N455">
        <f>DATEDIF(D455, E455, "d")</f>
        <v>14</v>
      </c>
      <c r="O455">
        <f>ROUND(Table1[[#This Row],[Unit Price]]*Table1[[#This Row],[Quantity]]*VLOOKUP(C455,Table2[#All],2,FALSE),0)</f>
        <v>1426</v>
      </c>
      <c r="P455">
        <f>ROUND(F455*G455,0)</f>
        <v>2037</v>
      </c>
      <c r="Q455">
        <f>ROUND((G455*F455)-O455,0)</f>
        <v>611</v>
      </c>
    </row>
    <row r="456" spans="1:17">
      <c r="A456" t="s">
        <v>523</v>
      </c>
      <c r="B456" t="s">
        <v>23</v>
      </c>
      <c r="C456" t="s">
        <v>69</v>
      </c>
      <c r="D456" s="1">
        <v>46007</v>
      </c>
      <c r="E456" s="1">
        <v>46017</v>
      </c>
      <c r="F456">
        <v>3</v>
      </c>
      <c r="G456">
        <v>10</v>
      </c>
      <c r="H456" t="s">
        <v>13</v>
      </c>
      <c r="I456" t="s">
        <v>32</v>
      </c>
      <c r="J456" t="s">
        <v>45</v>
      </c>
      <c r="K456">
        <f>YEAR(D456)</f>
        <v>2025</v>
      </c>
      <c r="L456" t="str">
        <f>TEXT(D456,"mmm")</f>
        <v>Dec</v>
      </c>
      <c r="M456" t="str">
        <f>TEXT(D456,"ddd")</f>
        <v>Tue</v>
      </c>
      <c r="N456">
        <f>DATEDIF(D456, E456, "d")</f>
        <v>10</v>
      </c>
      <c r="O456">
        <f>ROUND(Table1[[#This Row],[Unit Price]]*Table1[[#This Row],[Quantity]]*VLOOKUP(C456,Table2[#All],2,FALSE),0)</f>
        <v>17</v>
      </c>
      <c r="P456">
        <f>ROUND(F456*G456,0)</f>
        <v>30</v>
      </c>
      <c r="Q456">
        <f>ROUND((G456*F456)-O456,0)</f>
        <v>13</v>
      </c>
    </row>
    <row r="457" spans="1:17">
      <c r="A457" t="s">
        <v>391</v>
      </c>
      <c r="B457" t="s">
        <v>20</v>
      </c>
      <c r="C457" t="s">
        <v>39</v>
      </c>
      <c r="D457" s="1">
        <v>45964</v>
      </c>
      <c r="E457" s="1">
        <v>45971</v>
      </c>
      <c r="F457">
        <v>1</v>
      </c>
      <c r="G457">
        <v>741</v>
      </c>
      <c r="H457" t="s">
        <v>13</v>
      </c>
      <c r="I457" t="s">
        <v>548</v>
      </c>
      <c r="J457" t="s">
        <v>28</v>
      </c>
      <c r="K457">
        <f>YEAR(D457)</f>
        <v>2025</v>
      </c>
      <c r="L457" t="str">
        <f>TEXT(D457,"mmm")</f>
        <v>Nov</v>
      </c>
      <c r="M457" t="str">
        <f>TEXT(D457,"ddd")</f>
        <v>Mon</v>
      </c>
      <c r="N457">
        <f>DATEDIF(D457, E457, "d")</f>
        <v>7</v>
      </c>
      <c r="O457">
        <f>ROUND(Table1[[#This Row],[Unit Price]]*Table1[[#This Row],[Quantity]]*VLOOKUP(C457,Table2[#All],2,FALSE),0)</f>
        <v>482</v>
      </c>
      <c r="P457">
        <f>ROUND(F457*G457,0)</f>
        <v>741</v>
      </c>
      <c r="Q457">
        <f>ROUND((G457*F457)-O457,0)</f>
        <v>259</v>
      </c>
    </row>
    <row r="458" spans="1:17">
      <c r="A458" t="s">
        <v>290</v>
      </c>
      <c r="B458" t="s">
        <v>30</v>
      </c>
      <c r="C458" t="s">
        <v>31</v>
      </c>
      <c r="D458" s="1">
        <v>45486</v>
      </c>
      <c r="E458" s="1">
        <v>45492</v>
      </c>
      <c r="F458">
        <v>6</v>
      </c>
      <c r="G458">
        <v>460</v>
      </c>
      <c r="H458" t="s">
        <v>27</v>
      </c>
      <c r="I458" t="s">
        <v>546</v>
      </c>
      <c r="J458" t="s">
        <v>14</v>
      </c>
      <c r="K458">
        <f>YEAR(D458)</f>
        <v>2024</v>
      </c>
      <c r="L458" t="str">
        <f>TEXT(D458,"mmm")</f>
        <v>Jul</v>
      </c>
      <c r="M458" t="str">
        <f>TEXT(D458,"ddd")</f>
        <v>Sat</v>
      </c>
      <c r="N458">
        <f>DATEDIF(D458, E458, "d")</f>
        <v>6</v>
      </c>
      <c r="O458">
        <f>ROUND(Table1[[#This Row],[Unit Price]]*Table1[[#This Row],[Quantity]]*VLOOKUP(C458,Table2[#All],2,FALSE),0)</f>
        <v>2070</v>
      </c>
      <c r="P458">
        <f>ROUND(F458*G458,0)</f>
        <v>2760</v>
      </c>
      <c r="Q458">
        <f>ROUND((G458*F458)-O458,0)</f>
        <v>690</v>
      </c>
    </row>
    <row r="459" spans="1:17">
      <c r="A459" t="s">
        <v>440</v>
      </c>
      <c r="B459" t="s">
        <v>16</v>
      </c>
      <c r="C459" t="s">
        <v>43</v>
      </c>
      <c r="D459" s="1">
        <v>45718</v>
      </c>
      <c r="E459" s="1">
        <v>45725</v>
      </c>
      <c r="F459">
        <v>9</v>
      </c>
      <c r="G459">
        <v>616</v>
      </c>
      <c r="H459" t="s">
        <v>27</v>
      </c>
      <c r="I459" t="s">
        <v>548</v>
      </c>
      <c r="J459" t="s">
        <v>45</v>
      </c>
      <c r="K459">
        <f>YEAR(D459)</f>
        <v>2025</v>
      </c>
      <c r="L459" t="str">
        <f>TEXT(D459,"mmm")</f>
        <v>Mar</v>
      </c>
      <c r="M459" t="str">
        <f>TEXT(D459,"ddd")</f>
        <v>Sun</v>
      </c>
      <c r="N459">
        <f>DATEDIF(D459, E459, "d")</f>
        <v>7</v>
      </c>
      <c r="O459">
        <f>ROUND(Table1[[#This Row],[Unit Price]]*Table1[[#This Row],[Quantity]]*VLOOKUP(C459,Table2[#All],2,FALSE),0)</f>
        <v>3326</v>
      </c>
      <c r="P459">
        <f>ROUND(F459*G459,0)</f>
        <v>5544</v>
      </c>
      <c r="Q459">
        <f>ROUND((G459*F459)-O459,0)</f>
        <v>2218</v>
      </c>
    </row>
    <row r="460" spans="1:17">
      <c r="A460" t="s">
        <v>66</v>
      </c>
      <c r="B460" t="s">
        <v>16</v>
      </c>
      <c r="C460" t="s">
        <v>17</v>
      </c>
      <c r="D460" s="1">
        <v>45317</v>
      </c>
      <c r="E460" s="1">
        <v>45329</v>
      </c>
      <c r="F460">
        <v>9</v>
      </c>
      <c r="G460">
        <v>866</v>
      </c>
      <c r="H460" t="s">
        <v>13</v>
      </c>
      <c r="I460" t="s">
        <v>550</v>
      </c>
      <c r="J460" t="s">
        <v>28</v>
      </c>
      <c r="K460">
        <f>YEAR(D460)</f>
        <v>2024</v>
      </c>
      <c r="L460" t="str">
        <f>TEXT(D460,"mmm")</f>
        <v>Jan</v>
      </c>
      <c r="M460" t="str">
        <f>TEXT(D460,"ddd")</f>
        <v>Fri</v>
      </c>
      <c r="N460">
        <f>DATEDIF(D460, E460, "d")</f>
        <v>12</v>
      </c>
      <c r="O460">
        <f>ROUND(Table1[[#This Row],[Unit Price]]*Table1[[#This Row],[Quantity]]*VLOOKUP(C460,Table2[#All],2,FALSE),0)</f>
        <v>3897</v>
      </c>
      <c r="P460">
        <f>ROUND(F460*G460,0)</f>
        <v>7794</v>
      </c>
      <c r="Q460">
        <f>ROUND((G460*F460)-O460,0)</f>
        <v>3897</v>
      </c>
    </row>
    <row r="461" spans="1:17">
      <c r="A461" t="s">
        <v>66</v>
      </c>
      <c r="B461" t="s">
        <v>30</v>
      </c>
      <c r="C461" t="s">
        <v>41</v>
      </c>
      <c r="D461" s="1">
        <v>45662</v>
      </c>
      <c r="E461" s="1">
        <v>45663</v>
      </c>
      <c r="F461">
        <v>4</v>
      </c>
      <c r="G461">
        <v>212</v>
      </c>
      <c r="H461" t="s">
        <v>13</v>
      </c>
      <c r="I461" t="s">
        <v>549</v>
      </c>
      <c r="J461" t="s">
        <v>14</v>
      </c>
      <c r="K461">
        <f>YEAR(D461)</f>
        <v>2025</v>
      </c>
      <c r="L461" t="str">
        <f>TEXT(D461,"mmm")</f>
        <v>Jan</v>
      </c>
      <c r="M461" t="str">
        <f>TEXT(D461,"ddd")</f>
        <v>Sun</v>
      </c>
      <c r="N461">
        <f>DATEDIF(D461, E461, "d")</f>
        <v>1</v>
      </c>
      <c r="O461">
        <f>ROUND(Table1[[#This Row],[Unit Price]]*Table1[[#This Row],[Quantity]]*VLOOKUP(C461,Table2[#All],2,FALSE),0)</f>
        <v>551</v>
      </c>
      <c r="P461">
        <f>ROUND(F461*G461,0)</f>
        <v>848</v>
      </c>
      <c r="Q461">
        <f>ROUND((G461*F461)-O461,0)</f>
        <v>297</v>
      </c>
    </row>
    <row r="462" spans="1:17">
      <c r="A462" t="s">
        <v>117</v>
      </c>
      <c r="B462" t="s">
        <v>16</v>
      </c>
      <c r="C462" t="s">
        <v>55</v>
      </c>
      <c r="D462" s="1">
        <v>45534</v>
      </c>
      <c r="E462" s="1">
        <v>45547</v>
      </c>
      <c r="F462">
        <v>9</v>
      </c>
      <c r="G462">
        <v>553</v>
      </c>
      <c r="H462" t="s">
        <v>27</v>
      </c>
      <c r="I462" t="s">
        <v>546</v>
      </c>
      <c r="J462" t="s">
        <v>45</v>
      </c>
      <c r="K462">
        <f>YEAR(D462)</f>
        <v>2024</v>
      </c>
      <c r="L462" t="str">
        <f>TEXT(D462,"mmm")</f>
        <v>Aug</v>
      </c>
      <c r="M462" t="str">
        <f>TEXT(D462,"ddd")</f>
        <v>Fri</v>
      </c>
      <c r="N462">
        <f>DATEDIF(D462, E462, "d")</f>
        <v>13</v>
      </c>
      <c r="O462">
        <f>ROUND(Table1[[#This Row],[Unit Price]]*Table1[[#This Row],[Quantity]]*VLOOKUP(C462,Table2[#All],2,FALSE),0)</f>
        <v>2737</v>
      </c>
      <c r="P462">
        <f>ROUND(F462*G462,0)</f>
        <v>4977</v>
      </c>
      <c r="Q462">
        <f>ROUND((G462*F462)-O462,0)</f>
        <v>2240</v>
      </c>
    </row>
    <row r="463" spans="1:17">
      <c r="A463" t="s">
        <v>194</v>
      </c>
      <c r="B463" t="s">
        <v>20</v>
      </c>
      <c r="C463" t="s">
        <v>53</v>
      </c>
      <c r="D463" s="1">
        <v>45362</v>
      </c>
      <c r="E463" s="1">
        <v>45367</v>
      </c>
      <c r="F463">
        <v>3</v>
      </c>
      <c r="G463">
        <v>89</v>
      </c>
      <c r="H463" t="s">
        <v>27</v>
      </c>
      <c r="I463" t="s">
        <v>546</v>
      </c>
      <c r="J463" t="s">
        <v>45</v>
      </c>
      <c r="K463">
        <f>YEAR(D463)</f>
        <v>2024</v>
      </c>
      <c r="L463" t="str">
        <f>TEXT(D463,"mmm")</f>
        <v>Mar</v>
      </c>
      <c r="M463" t="str">
        <f>TEXT(D463,"ddd")</f>
        <v>Mon</v>
      </c>
      <c r="N463">
        <f>DATEDIF(D463, E463, "d")</f>
        <v>5</v>
      </c>
      <c r="O463">
        <f>ROUND(Table1[[#This Row],[Unit Price]]*Table1[[#This Row],[Quantity]]*VLOOKUP(C463,Table2[#All],2,FALSE),0)</f>
        <v>187</v>
      </c>
      <c r="P463">
        <f>ROUND(F463*G463,0)</f>
        <v>267</v>
      </c>
      <c r="Q463">
        <f>ROUND((G463*F463)-O463,0)</f>
        <v>80</v>
      </c>
    </row>
    <row r="464" spans="1:17">
      <c r="A464" t="s">
        <v>368</v>
      </c>
      <c r="B464" t="s">
        <v>20</v>
      </c>
      <c r="C464" t="s">
        <v>39</v>
      </c>
      <c r="D464" s="1">
        <v>45839</v>
      </c>
      <c r="E464" s="1">
        <v>45845</v>
      </c>
      <c r="F464">
        <v>7</v>
      </c>
      <c r="G464">
        <v>195</v>
      </c>
      <c r="H464" t="s">
        <v>13</v>
      </c>
      <c r="I464" t="s">
        <v>32</v>
      </c>
      <c r="J464" t="s">
        <v>45</v>
      </c>
      <c r="K464">
        <f>YEAR(D464)</f>
        <v>2025</v>
      </c>
      <c r="L464" t="str">
        <f>TEXT(D464,"mmm")</f>
        <v>Jul</v>
      </c>
      <c r="M464" t="str">
        <f>TEXT(D464,"ddd")</f>
        <v>Tue</v>
      </c>
      <c r="N464">
        <f>DATEDIF(D464, E464, "d")</f>
        <v>6</v>
      </c>
      <c r="O464">
        <f>ROUND(Table1[[#This Row],[Unit Price]]*Table1[[#This Row],[Quantity]]*VLOOKUP(C464,Table2[#All],2,FALSE),0)</f>
        <v>887</v>
      </c>
      <c r="P464">
        <f>ROUND(F464*G464,0)</f>
        <v>1365</v>
      </c>
      <c r="Q464">
        <f>ROUND((G464*F464)-O464,0)</f>
        <v>478</v>
      </c>
    </row>
    <row r="465" spans="1:17">
      <c r="A465" t="s">
        <v>528</v>
      </c>
      <c r="B465" t="s">
        <v>11</v>
      </c>
      <c r="C465" t="s">
        <v>26</v>
      </c>
      <c r="D465" s="1">
        <v>45704</v>
      </c>
      <c r="E465" s="1">
        <v>45708</v>
      </c>
      <c r="F465">
        <v>5</v>
      </c>
      <c r="G465">
        <v>314</v>
      </c>
      <c r="H465" t="s">
        <v>13</v>
      </c>
      <c r="I465" t="s">
        <v>32</v>
      </c>
      <c r="J465" t="s">
        <v>28</v>
      </c>
      <c r="K465">
        <f>YEAR(D465)</f>
        <v>2025</v>
      </c>
      <c r="L465" t="str">
        <f>TEXT(D465,"mmm")</f>
        <v>Feb</v>
      </c>
      <c r="M465" t="str">
        <f>TEXT(D465,"ddd")</f>
        <v>Sun</v>
      </c>
      <c r="N465">
        <f>DATEDIF(D465, E465, "d")</f>
        <v>4</v>
      </c>
      <c r="O465">
        <f>ROUND(Table1[[#This Row],[Unit Price]]*Table1[[#This Row],[Quantity]]*VLOOKUP(C465,Table2[#All],2,FALSE),0)</f>
        <v>1021</v>
      </c>
      <c r="P465">
        <f>ROUND(F465*G465,0)</f>
        <v>1570</v>
      </c>
      <c r="Q465">
        <f>ROUND((G465*F465)-O465,0)</f>
        <v>549</v>
      </c>
    </row>
    <row r="466" spans="1:17">
      <c r="A466" t="s">
        <v>310</v>
      </c>
      <c r="B466" t="s">
        <v>11</v>
      </c>
      <c r="C466" t="s">
        <v>57</v>
      </c>
      <c r="D466" s="1">
        <v>45399</v>
      </c>
      <c r="E466" s="1">
        <v>45406</v>
      </c>
      <c r="F466">
        <v>10</v>
      </c>
      <c r="G466">
        <v>715</v>
      </c>
      <c r="H466" t="s">
        <v>27</v>
      </c>
      <c r="I466" t="s">
        <v>546</v>
      </c>
      <c r="J466" t="s">
        <v>28</v>
      </c>
      <c r="K466">
        <f>YEAR(D466)</f>
        <v>2024</v>
      </c>
      <c r="L466" t="str">
        <f>TEXT(D466,"mmm")</f>
        <v>Apr</v>
      </c>
      <c r="M466" t="str">
        <f>TEXT(D466,"ddd")</f>
        <v>Wed</v>
      </c>
      <c r="N466">
        <f>DATEDIF(D466, E466, "d")</f>
        <v>7</v>
      </c>
      <c r="O466">
        <f>ROUND(Table1[[#This Row],[Unit Price]]*Table1[[#This Row],[Quantity]]*VLOOKUP(C466,Table2[#All],2,FALSE),0)</f>
        <v>6078</v>
      </c>
      <c r="P466">
        <f>ROUND(F466*G466,0)</f>
        <v>7150</v>
      </c>
      <c r="Q466">
        <f>ROUND((G466*F466)-O466,0)</f>
        <v>1072</v>
      </c>
    </row>
    <row r="467" spans="1:17">
      <c r="A467" t="s">
        <v>280</v>
      </c>
      <c r="B467" t="s">
        <v>23</v>
      </c>
      <c r="C467" t="s">
        <v>37</v>
      </c>
      <c r="D467" s="1">
        <v>45485</v>
      </c>
      <c r="E467" s="1">
        <v>45498</v>
      </c>
      <c r="F467">
        <v>9</v>
      </c>
      <c r="G467">
        <v>497</v>
      </c>
      <c r="H467" t="s">
        <v>27</v>
      </c>
      <c r="I467" t="s">
        <v>550</v>
      </c>
      <c r="J467" t="s">
        <v>45</v>
      </c>
      <c r="K467">
        <f>YEAR(D467)</f>
        <v>2024</v>
      </c>
      <c r="L467" t="str">
        <f>TEXT(D467,"mmm")</f>
        <v>Jul</v>
      </c>
      <c r="M467" t="str">
        <f>TEXT(D467,"ddd")</f>
        <v>Fri</v>
      </c>
      <c r="N467">
        <f>DATEDIF(D467, E467, "d")</f>
        <v>13</v>
      </c>
      <c r="O467">
        <f>ROUND(Table1[[#This Row],[Unit Price]]*Table1[[#This Row],[Quantity]]*VLOOKUP(C467,Table2[#All],2,FALSE),0)</f>
        <v>2237</v>
      </c>
      <c r="P467">
        <f>ROUND(F467*G467,0)</f>
        <v>4473</v>
      </c>
      <c r="Q467">
        <f>ROUND((G467*F467)-O467,0)</f>
        <v>2236</v>
      </c>
    </row>
    <row r="468" spans="1:17">
      <c r="A468" t="s">
        <v>530</v>
      </c>
      <c r="B468" t="s">
        <v>23</v>
      </c>
      <c r="C468" t="s">
        <v>24</v>
      </c>
      <c r="D468" s="1">
        <v>46008</v>
      </c>
      <c r="E468" s="1">
        <v>46014</v>
      </c>
      <c r="F468">
        <v>9</v>
      </c>
      <c r="G468">
        <v>891</v>
      </c>
      <c r="H468" t="s">
        <v>27</v>
      </c>
      <c r="I468" t="s">
        <v>549</v>
      </c>
      <c r="J468" t="s">
        <v>28</v>
      </c>
      <c r="K468">
        <f>YEAR(D468)</f>
        <v>2025</v>
      </c>
      <c r="L468" t="str">
        <f>TEXT(D468,"mmm")</f>
        <v>Dec</v>
      </c>
      <c r="M468" t="str">
        <f>TEXT(D468,"ddd")</f>
        <v>Wed</v>
      </c>
      <c r="N468">
        <f>DATEDIF(D468, E468, "d")</f>
        <v>6</v>
      </c>
      <c r="O468">
        <f>ROUND(Table1[[#This Row],[Unit Price]]*Table1[[#This Row],[Quantity]]*VLOOKUP(C468,Table2[#All],2,FALSE),0)</f>
        <v>4410</v>
      </c>
      <c r="P468">
        <f>ROUND(F468*G468,0)</f>
        <v>8019</v>
      </c>
      <c r="Q468">
        <f>ROUND((G468*F468)-O468,0)</f>
        <v>3609</v>
      </c>
    </row>
    <row r="469" spans="1:17">
      <c r="A469" t="s">
        <v>348</v>
      </c>
      <c r="B469" t="s">
        <v>20</v>
      </c>
      <c r="C469" t="s">
        <v>39</v>
      </c>
      <c r="D469" s="1">
        <v>45298</v>
      </c>
      <c r="E469" s="1">
        <v>45303</v>
      </c>
      <c r="F469">
        <v>1</v>
      </c>
      <c r="G469">
        <v>860</v>
      </c>
      <c r="H469" t="s">
        <v>13</v>
      </c>
      <c r="I469" t="s">
        <v>548</v>
      </c>
      <c r="J469" t="s">
        <v>18</v>
      </c>
      <c r="K469">
        <f>YEAR(D469)</f>
        <v>2024</v>
      </c>
      <c r="L469" t="str">
        <f>TEXT(D469,"mmm")</f>
        <v>Jan</v>
      </c>
      <c r="M469" t="str">
        <f>TEXT(D469,"ddd")</f>
        <v>Sun</v>
      </c>
      <c r="N469">
        <f>DATEDIF(D469, E469, "d")</f>
        <v>5</v>
      </c>
      <c r="O469">
        <f>ROUND(Table1[[#This Row],[Unit Price]]*Table1[[#This Row],[Quantity]]*VLOOKUP(C469,Table2[#All],2,FALSE),0)</f>
        <v>559</v>
      </c>
      <c r="P469">
        <f>ROUND(F469*G469,0)</f>
        <v>860</v>
      </c>
      <c r="Q469">
        <f>ROUND((G469*F469)-O469,0)</f>
        <v>301</v>
      </c>
    </row>
    <row r="470" spans="1:17">
      <c r="A470" t="s">
        <v>468</v>
      </c>
      <c r="B470" t="s">
        <v>16</v>
      </c>
      <c r="C470" t="s">
        <v>17</v>
      </c>
      <c r="D470" s="1">
        <v>45720</v>
      </c>
      <c r="E470" s="1">
        <v>45721</v>
      </c>
      <c r="F470">
        <v>4</v>
      </c>
      <c r="G470">
        <v>587</v>
      </c>
      <c r="H470" t="s">
        <v>13</v>
      </c>
      <c r="I470" t="s">
        <v>546</v>
      </c>
      <c r="J470" t="s">
        <v>45</v>
      </c>
      <c r="K470">
        <f>YEAR(D470)</f>
        <v>2025</v>
      </c>
      <c r="L470" t="str">
        <f>TEXT(D470,"mmm")</f>
        <v>Mar</v>
      </c>
      <c r="M470" t="str">
        <f>TEXT(D470,"ddd")</f>
        <v>Tue</v>
      </c>
      <c r="N470">
        <f>DATEDIF(D470, E470, "d")</f>
        <v>1</v>
      </c>
      <c r="O470">
        <f>ROUND(Table1[[#This Row],[Unit Price]]*Table1[[#This Row],[Quantity]]*VLOOKUP(C470,Table2[#All],2,FALSE),0)</f>
        <v>1174</v>
      </c>
      <c r="P470">
        <f>ROUND(F470*G470,0)</f>
        <v>2348</v>
      </c>
      <c r="Q470">
        <f>ROUND((G470*F470)-O470,0)</f>
        <v>1174</v>
      </c>
    </row>
    <row r="471" spans="1:17">
      <c r="A471" t="s">
        <v>295</v>
      </c>
      <c r="B471" t="s">
        <v>16</v>
      </c>
      <c r="C471" t="s">
        <v>59</v>
      </c>
      <c r="D471" s="1">
        <v>45618</v>
      </c>
      <c r="E471" s="1">
        <v>45631</v>
      </c>
      <c r="F471">
        <v>2</v>
      </c>
      <c r="G471">
        <v>121</v>
      </c>
      <c r="H471" t="s">
        <v>27</v>
      </c>
      <c r="I471" t="s">
        <v>548</v>
      </c>
      <c r="J471" t="s">
        <v>45</v>
      </c>
      <c r="K471">
        <f>YEAR(D471)</f>
        <v>2024</v>
      </c>
      <c r="L471" t="str">
        <f>TEXT(D471,"mmm")</f>
        <v>Nov</v>
      </c>
      <c r="M471" t="str">
        <f>TEXT(D471,"ddd")</f>
        <v>Fri</v>
      </c>
      <c r="N471">
        <f>DATEDIF(D471, E471, "d")</f>
        <v>13</v>
      </c>
      <c r="O471">
        <f>ROUND(Table1[[#This Row],[Unit Price]]*Table1[[#This Row],[Quantity]]*VLOOKUP(C471,Table2[#All],2,FALSE),0)</f>
        <v>157</v>
      </c>
      <c r="P471">
        <f>ROUND(F471*G471,0)</f>
        <v>242</v>
      </c>
      <c r="Q471">
        <f>ROUND((G471*F471)-O471,0)</f>
        <v>85</v>
      </c>
    </row>
    <row r="472" spans="1:17">
      <c r="A472" t="s">
        <v>613</v>
      </c>
      <c r="B472" t="s">
        <v>16</v>
      </c>
      <c r="C472" t="s">
        <v>43</v>
      </c>
      <c r="D472" s="1">
        <v>45360</v>
      </c>
      <c r="E472" s="1">
        <v>45363</v>
      </c>
      <c r="F472">
        <v>1</v>
      </c>
      <c r="G472">
        <v>10</v>
      </c>
      <c r="H472" t="s">
        <v>13</v>
      </c>
      <c r="I472" t="s">
        <v>548</v>
      </c>
      <c r="J472" t="s">
        <v>45</v>
      </c>
      <c r="K472">
        <f>YEAR(D472)</f>
        <v>2024</v>
      </c>
      <c r="L472" t="str">
        <f>TEXT(D472,"mmm")</f>
        <v>Mar</v>
      </c>
      <c r="M472" t="str">
        <f>TEXT(D472,"ddd")</f>
        <v>Sat</v>
      </c>
      <c r="N472">
        <f>DATEDIF(D472, E472, "d")</f>
        <v>3</v>
      </c>
      <c r="O472">
        <f>ROUND(Table1[[#This Row],[Unit Price]]*Table1[[#This Row],[Quantity]]*VLOOKUP(C472,Table2[#All],2,FALSE),0)</f>
        <v>6</v>
      </c>
      <c r="P472">
        <f>ROUND(F472*G472,0)</f>
        <v>10</v>
      </c>
      <c r="Q472">
        <f>ROUND((G472*F472)-O472,0)</f>
        <v>4</v>
      </c>
    </row>
    <row r="473" spans="1:17">
      <c r="A473" t="s">
        <v>404</v>
      </c>
      <c r="B473" t="s">
        <v>30</v>
      </c>
      <c r="C473" t="s">
        <v>41</v>
      </c>
      <c r="D473" s="1">
        <v>45692</v>
      </c>
      <c r="E473" s="1">
        <v>45707</v>
      </c>
      <c r="F473">
        <v>2</v>
      </c>
      <c r="G473">
        <v>530</v>
      </c>
      <c r="H473" t="s">
        <v>27</v>
      </c>
      <c r="I473" t="s">
        <v>550</v>
      </c>
      <c r="J473" t="s">
        <v>45</v>
      </c>
      <c r="K473">
        <f>YEAR(D473)</f>
        <v>2025</v>
      </c>
      <c r="L473" t="str">
        <f>TEXT(D473,"mmm")</f>
        <v>Feb</v>
      </c>
      <c r="M473" t="str">
        <f>TEXT(D473,"ddd")</f>
        <v>Tue</v>
      </c>
      <c r="N473">
        <f>DATEDIF(D473, E473, "d")</f>
        <v>15</v>
      </c>
      <c r="O473">
        <f>ROUND(Table1[[#This Row],[Unit Price]]*Table1[[#This Row],[Quantity]]*VLOOKUP(C473,Table2[#All],2,FALSE),0)</f>
        <v>689</v>
      </c>
      <c r="P473">
        <f>ROUND(F473*G473,0)</f>
        <v>1060</v>
      </c>
      <c r="Q473">
        <f>ROUND((G473*F473)-O473,0)</f>
        <v>371</v>
      </c>
    </row>
    <row r="474" spans="1:17">
      <c r="A474" t="s">
        <v>483</v>
      </c>
      <c r="B474" t="s">
        <v>23</v>
      </c>
      <c r="C474" t="s">
        <v>69</v>
      </c>
      <c r="D474" s="1">
        <v>45707</v>
      </c>
      <c r="E474" s="1">
        <v>45713</v>
      </c>
      <c r="F474">
        <v>7</v>
      </c>
      <c r="G474">
        <v>471</v>
      </c>
      <c r="H474" t="s">
        <v>27</v>
      </c>
      <c r="I474" t="s">
        <v>550</v>
      </c>
      <c r="J474" t="s">
        <v>45</v>
      </c>
      <c r="K474">
        <f>YEAR(D474)</f>
        <v>2025</v>
      </c>
      <c r="L474" t="str">
        <f>TEXT(D474,"mmm")</f>
        <v>Feb</v>
      </c>
      <c r="M474" t="str">
        <f>TEXT(D474,"ddd")</f>
        <v>Wed</v>
      </c>
      <c r="N474">
        <f>DATEDIF(D474, E474, "d")</f>
        <v>6</v>
      </c>
      <c r="O474">
        <f>ROUND(Table1[[#This Row],[Unit Price]]*Table1[[#This Row],[Quantity]]*VLOOKUP(C474,Table2[#All],2,FALSE),0)</f>
        <v>1813</v>
      </c>
      <c r="P474">
        <f>ROUND(F474*G474,0)</f>
        <v>3297</v>
      </c>
      <c r="Q474">
        <f>ROUND((G474*F474)-O474,0)</f>
        <v>1484</v>
      </c>
    </row>
    <row r="475" spans="1:17">
      <c r="A475" t="s">
        <v>206</v>
      </c>
      <c r="B475" t="s">
        <v>30</v>
      </c>
      <c r="C475" t="s">
        <v>41</v>
      </c>
      <c r="D475" s="1">
        <v>45642</v>
      </c>
      <c r="E475" s="1">
        <v>45646</v>
      </c>
      <c r="F475">
        <v>8</v>
      </c>
      <c r="G475">
        <v>722</v>
      </c>
      <c r="H475" t="s">
        <v>13</v>
      </c>
      <c r="I475" t="s">
        <v>549</v>
      </c>
      <c r="J475" t="s">
        <v>45</v>
      </c>
      <c r="K475">
        <f>YEAR(D475)</f>
        <v>2024</v>
      </c>
      <c r="L475" t="str">
        <f>TEXT(D475,"mmm")</f>
        <v>Dec</v>
      </c>
      <c r="M475" t="str">
        <f>TEXT(D475,"ddd")</f>
        <v>Mon</v>
      </c>
      <c r="N475">
        <f>DATEDIF(D475, E475, "d")</f>
        <v>4</v>
      </c>
      <c r="O475">
        <f>ROUND(Table1[[#This Row],[Unit Price]]*Table1[[#This Row],[Quantity]]*VLOOKUP(C475,Table2[#All],2,FALSE),0)</f>
        <v>3754</v>
      </c>
      <c r="P475">
        <f>ROUND(F475*G475,0)</f>
        <v>5776</v>
      </c>
      <c r="Q475">
        <f>ROUND((G475*F475)-O475,0)</f>
        <v>2022</v>
      </c>
    </row>
    <row r="476" spans="1:17">
      <c r="A476" t="s">
        <v>389</v>
      </c>
      <c r="B476" t="s">
        <v>23</v>
      </c>
      <c r="C476" t="s">
        <v>69</v>
      </c>
      <c r="D476" s="1">
        <v>45936</v>
      </c>
      <c r="E476" s="1">
        <v>45941</v>
      </c>
      <c r="F476">
        <v>6</v>
      </c>
      <c r="G476">
        <v>564</v>
      </c>
      <c r="H476" t="s">
        <v>13</v>
      </c>
      <c r="I476" t="s">
        <v>550</v>
      </c>
      <c r="J476" t="s">
        <v>18</v>
      </c>
      <c r="K476">
        <f>YEAR(D476)</f>
        <v>2025</v>
      </c>
      <c r="L476" t="str">
        <f>TEXT(D476,"mmm")</f>
        <v>Oct</v>
      </c>
      <c r="M476" t="str">
        <f>TEXT(D476,"ddd")</f>
        <v>Mon</v>
      </c>
      <c r="N476">
        <f>DATEDIF(D476, E476, "d")</f>
        <v>5</v>
      </c>
      <c r="O476">
        <f>ROUND(Table1[[#This Row],[Unit Price]]*Table1[[#This Row],[Quantity]]*VLOOKUP(C476,Table2[#All],2,FALSE),0)</f>
        <v>1861</v>
      </c>
      <c r="P476">
        <f>ROUND(F476*G476,0)</f>
        <v>3384</v>
      </c>
      <c r="Q476">
        <f>ROUND((G476*F476)-O476,0)</f>
        <v>1523</v>
      </c>
    </row>
    <row r="477" spans="1:17">
      <c r="A477" t="s">
        <v>150</v>
      </c>
      <c r="B477" t="s">
        <v>23</v>
      </c>
      <c r="C477" t="s">
        <v>99</v>
      </c>
      <c r="D477" s="1">
        <v>45394</v>
      </c>
      <c r="E477" s="1">
        <v>45403</v>
      </c>
      <c r="F477">
        <v>3</v>
      </c>
      <c r="G477">
        <v>815</v>
      </c>
      <c r="H477" t="s">
        <v>27</v>
      </c>
      <c r="I477" t="s">
        <v>32</v>
      </c>
      <c r="J477" t="s">
        <v>28</v>
      </c>
      <c r="K477">
        <f>YEAR(D477)</f>
        <v>2024</v>
      </c>
      <c r="L477" t="str">
        <f>TEXT(D477,"mmm")</f>
        <v>Apr</v>
      </c>
      <c r="M477" t="str">
        <f>TEXT(D477,"ddd")</f>
        <v>Fri</v>
      </c>
      <c r="N477">
        <f>DATEDIF(D477, E477, "d")</f>
        <v>9</v>
      </c>
      <c r="O477">
        <f>ROUND(Table1[[#This Row],[Unit Price]]*Table1[[#This Row],[Quantity]]*VLOOKUP(C477,Table2[#All],2,FALSE),0)</f>
        <v>1467</v>
      </c>
      <c r="P477">
        <f>ROUND(F477*G477,0)</f>
        <v>2445</v>
      </c>
      <c r="Q477">
        <f>ROUND((G477*F477)-O477,0)</f>
        <v>978</v>
      </c>
    </row>
    <row r="478" spans="1:17">
      <c r="A478" t="s">
        <v>225</v>
      </c>
      <c r="B478" t="s">
        <v>20</v>
      </c>
      <c r="C478" t="s">
        <v>82</v>
      </c>
      <c r="D478" s="1">
        <v>45479</v>
      </c>
      <c r="E478" s="1">
        <v>45489</v>
      </c>
      <c r="F478">
        <v>7</v>
      </c>
      <c r="G478">
        <v>384</v>
      </c>
      <c r="H478" t="s">
        <v>13</v>
      </c>
      <c r="I478" t="s">
        <v>550</v>
      </c>
      <c r="J478" t="s">
        <v>14</v>
      </c>
      <c r="K478">
        <f>YEAR(D478)</f>
        <v>2024</v>
      </c>
      <c r="L478" t="str">
        <f>TEXT(D478,"mmm")</f>
        <v>Jul</v>
      </c>
      <c r="M478" t="str">
        <f>TEXT(D478,"ddd")</f>
        <v>Sat</v>
      </c>
      <c r="N478">
        <f>DATEDIF(D478, E478, "d")</f>
        <v>10</v>
      </c>
      <c r="O478">
        <f>ROUND(Table1[[#This Row],[Unit Price]]*Table1[[#This Row],[Quantity]]*VLOOKUP(C478,Table2[#All],2,FALSE),0)</f>
        <v>2150</v>
      </c>
      <c r="P478">
        <f>ROUND(F478*G478,0)</f>
        <v>2688</v>
      </c>
      <c r="Q478">
        <f>ROUND((G478*F478)-O478,0)</f>
        <v>538</v>
      </c>
    </row>
    <row r="479" spans="1:17">
      <c r="A479" t="s">
        <v>101</v>
      </c>
      <c r="B479" t="s">
        <v>20</v>
      </c>
      <c r="C479" t="s">
        <v>21</v>
      </c>
      <c r="D479" s="1">
        <v>45522</v>
      </c>
      <c r="E479" s="1">
        <v>45532</v>
      </c>
      <c r="F479">
        <v>5</v>
      </c>
      <c r="G479">
        <v>779</v>
      </c>
      <c r="H479" t="s">
        <v>27</v>
      </c>
      <c r="I479" t="s">
        <v>550</v>
      </c>
      <c r="J479" t="s">
        <v>28</v>
      </c>
      <c r="K479">
        <f>YEAR(D479)</f>
        <v>2024</v>
      </c>
      <c r="L479" t="str">
        <f>TEXT(D479,"mmm")</f>
        <v>Aug</v>
      </c>
      <c r="M479" t="str">
        <f>TEXT(D479,"ddd")</f>
        <v>Sun</v>
      </c>
      <c r="N479">
        <f>DATEDIF(D479, E479, "d")</f>
        <v>10</v>
      </c>
      <c r="O479">
        <f>ROUND(Table1[[#This Row],[Unit Price]]*Table1[[#This Row],[Quantity]]*VLOOKUP(C479,Table2[#All],2,FALSE),0)</f>
        <v>2921</v>
      </c>
      <c r="P479">
        <f>ROUND(F479*G479,0)</f>
        <v>3895</v>
      </c>
      <c r="Q479">
        <f>ROUND((G479*F479)-O479,0)</f>
        <v>974</v>
      </c>
    </row>
    <row r="480" spans="1:17">
      <c r="A480" t="s">
        <v>101</v>
      </c>
      <c r="B480" t="s">
        <v>23</v>
      </c>
      <c r="C480" t="s">
        <v>24</v>
      </c>
      <c r="D480" s="1">
        <v>45997</v>
      </c>
      <c r="E480" s="1">
        <v>45998</v>
      </c>
      <c r="F480">
        <v>2</v>
      </c>
      <c r="G480">
        <v>443</v>
      </c>
      <c r="H480" t="s">
        <v>13</v>
      </c>
      <c r="I480" t="s">
        <v>546</v>
      </c>
      <c r="J480" t="s">
        <v>45</v>
      </c>
      <c r="K480">
        <f>YEAR(D480)</f>
        <v>2025</v>
      </c>
      <c r="L480" t="str">
        <f>TEXT(D480,"mmm")</f>
        <v>Dec</v>
      </c>
      <c r="M480" t="str">
        <f>TEXT(D480,"ddd")</f>
        <v>Sat</v>
      </c>
      <c r="N480">
        <f>DATEDIF(D480, E480, "d")</f>
        <v>1</v>
      </c>
      <c r="O480">
        <f>ROUND(Table1[[#This Row],[Unit Price]]*Table1[[#This Row],[Quantity]]*VLOOKUP(C480,Table2[#All],2,FALSE),0)</f>
        <v>487</v>
      </c>
      <c r="P480">
        <f>ROUND(F480*G480,0)</f>
        <v>886</v>
      </c>
      <c r="Q480">
        <f>ROUND((G480*F480)-O480,0)</f>
        <v>399</v>
      </c>
    </row>
    <row r="481" spans="1:17">
      <c r="A481" t="s">
        <v>455</v>
      </c>
      <c r="B481" t="s">
        <v>20</v>
      </c>
      <c r="C481" t="s">
        <v>21</v>
      </c>
      <c r="D481" s="1">
        <v>45836</v>
      </c>
      <c r="E481" s="1">
        <v>45842</v>
      </c>
      <c r="F481">
        <v>1</v>
      </c>
      <c r="G481">
        <v>187</v>
      </c>
      <c r="H481" t="s">
        <v>27</v>
      </c>
      <c r="I481" t="s">
        <v>550</v>
      </c>
      <c r="J481" t="s">
        <v>18</v>
      </c>
      <c r="K481">
        <f>YEAR(D481)</f>
        <v>2025</v>
      </c>
      <c r="L481" t="str">
        <f>TEXT(D481,"mmm")</f>
        <v>Jun</v>
      </c>
      <c r="M481" t="str">
        <f>TEXT(D481,"ddd")</f>
        <v>Sat</v>
      </c>
      <c r="N481">
        <f>DATEDIF(D481, E481, "d")</f>
        <v>6</v>
      </c>
      <c r="O481">
        <f>ROUND(Table1[[#This Row],[Unit Price]]*Table1[[#This Row],[Quantity]]*VLOOKUP(C481,Table2[#All],2,FALSE),0)</f>
        <v>140</v>
      </c>
      <c r="P481">
        <f>ROUND(F481*G481,0)</f>
        <v>187</v>
      </c>
      <c r="Q481">
        <f>ROUND((G481*F481)-O481,0)</f>
        <v>47</v>
      </c>
    </row>
    <row r="482" spans="1:17">
      <c r="A482" t="s">
        <v>90</v>
      </c>
      <c r="B482" t="s">
        <v>11</v>
      </c>
      <c r="C482" t="s">
        <v>26</v>
      </c>
      <c r="D482" s="1">
        <v>45292</v>
      </c>
      <c r="E482" s="1">
        <v>45306</v>
      </c>
      <c r="F482">
        <v>9</v>
      </c>
      <c r="G482">
        <v>957</v>
      </c>
      <c r="H482" t="s">
        <v>27</v>
      </c>
      <c r="I482" t="s">
        <v>548</v>
      </c>
      <c r="J482" t="s">
        <v>45</v>
      </c>
      <c r="K482">
        <f>YEAR(D482)</f>
        <v>2024</v>
      </c>
      <c r="L482" t="str">
        <f>TEXT(D482,"mmm")</f>
        <v>Jan</v>
      </c>
      <c r="M482" t="str">
        <f>TEXT(D482,"ddd")</f>
        <v>Mon</v>
      </c>
      <c r="N482">
        <f>DATEDIF(D482, E482, "d")</f>
        <v>14</v>
      </c>
      <c r="O482">
        <f>ROUND(Table1[[#This Row],[Unit Price]]*Table1[[#This Row],[Quantity]]*VLOOKUP(C482,Table2[#All],2,FALSE),0)</f>
        <v>5598</v>
      </c>
      <c r="P482">
        <f>ROUND(F482*G482,0)</f>
        <v>8613</v>
      </c>
      <c r="Q482">
        <f>ROUND((G482*F482)-O482,0)</f>
        <v>3015</v>
      </c>
    </row>
    <row r="483" spans="1:17">
      <c r="A483" t="s">
        <v>90</v>
      </c>
      <c r="B483" t="s">
        <v>16</v>
      </c>
      <c r="C483" t="s">
        <v>63</v>
      </c>
      <c r="D483" s="1">
        <v>45995</v>
      </c>
      <c r="E483" s="1">
        <v>46001</v>
      </c>
      <c r="F483">
        <v>5</v>
      </c>
      <c r="G483">
        <v>858</v>
      </c>
      <c r="H483" t="s">
        <v>13</v>
      </c>
      <c r="I483" t="s">
        <v>548</v>
      </c>
      <c r="J483" t="s">
        <v>45</v>
      </c>
      <c r="K483">
        <f>YEAR(D483)</f>
        <v>2025</v>
      </c>
      <c r="L483" t="str">
        <f>TEXT(D483,"mmm")</f>
        <v>Dec</v>
      </c>
      <c r="M483" t="str">
        <f>TEXT(D483,"ddd")</f>
        <v>Thu</v>
      </c>
      <c r="N483">
        <f>DATEDIF(D483, E483, "d")</f>
        <v>6</v>
      </c>
      <c r="O483">
        <f>ROUND(Table1[[#This Row],[Unit Price]]*Table1[[#This Row],[Quantity]]*VLOOKUP(C483,Table2[#All],2,FALSE),0)</f>
        <v>2145</v>
      </c>
      <c r="P483">
        <f>ROUND(F483*G483,0)</f>
        <v>4290</v>
      </c>
      <c r="Q483">
        <f>ROUND((G483*F483)-O483,0)</f>
        <v>2145</v>
      </c>
    </row>
    <row r="484" spans="1:17">
      <c r="A484" t="s">
        <v>337</v>
      </c>
      <c r="B484" t="s">
        <v>11</v>
      </c>
      <c r="C484" t="s">
        <v>26</v>
      </c>
      <c r="D484" s="1">
        <v>45478</v>
      </c>
      <c r="E484" s="1">
        <v>45491</v>
      </c>
      <c r="F484">
        <v>7</v>
      </c>
      <c r="G484">
        <v>952</v>
      </c>
      <c r="H484" t="s">
        <v>13</v>
      </c>
      <c r="I484" t="s">
        <v>547</v>
      </c>
      <c r="J484" t="s">
        <v>14</v>
      </c>
      <c r="K484">
        <f>YEAR(D484)</f>
        <v>2024</v>
      </c>
      <c r="L484" t="str">
        <f>TEXT(D484,"mmm")</f>
        <v>Jul</v>
      </c>
      <c r="M484" t="str">
        <f>TEXT(D484,"ddd")</f>
        <v>Fri</v>
      </c>
      <c r="N484">
        <f>DATEDIF(D484, E484, "d")</f>
        <v>13</v>
      </c>
      <c r="O484">
        <f>ROUND(Table1[[#This Row],[Unit Price]]*Table1[[#This Row],[Quantity]]*VLOOKUP(C484,Table2[#All],2,FALSE),0)</f>
        <v>4332</v>
      </c>
      <c r="P484">
        <f>ROUND(F484*G484,0)</f>
        <v>6664</v>
      </c>
      <c r="Q484">
        <f>ROUND((G484*F484)-O484,0)</f>
        <v>2332</v>
      </c>
    </row>
    <row r="485" spans="1:17">
      <c r="A485" t="s">
        <v>250</v>
      </c>
      <c r="B485" t="s">
        <v>30</v>
      </c>
      <c r="C485" t="s">
        <v>75</v>
      </c>
      <c r="D485" s="1">
        <v>45619</v>
      </c>
      <c r="E485" s="1">
        <v>45625</v>
      </c>
      <c r="F485">
        <v>5</v>
      </c>
      <c r="G485">
        <v>386</v>
      </c>
      <c r="H485" t="s">
        <v>13</v>
      </c>
      <c r="I485" t="s">
        <v>32</v>
      </c>
      <c r="J485" t="s">
        <v>45</v>
      </c>
      <c r="K485">
        <f>YEAR(D485)</f>
        <v>2024</v>
      </c>
      <c r="L485" t="str">
        <f>TEXT(D485,"mmm")</f>
        <v>Nov</v>
      </c>
      <c r="M485" t="str">
        <f>TEXT(D485,"ddd")</f>
        <v>Sat</v>
      </c>
      <c r="N485">
        <f>DATEDIF(D485, E485, "d")</f>
        <v>6</v>
      </c>
      <c r="O485">
        <f>ROUND(Table1[[#This Row],[Unit Price]]*Table1[[#This Row],[Quantity]]*VLOOKUP(C485,Table2[#All],2,FALSE),0)</f>
        <v>1448</v>
      </c>
      <c r="P485">
        <f>ROUND(F485*G485,0)</f>
        <v>1930</v>
      </c>
      <c r="Q485">
        <f>ROUND((G485*F485)-O485,0)</f>
        <v>482</v>
      </c>
    </row>
    <row r="486" spans="1:17">
      <c r="A486" t="s">
        <v>80</v>
      </c>
      <c r="B486" t="s">
        <v>30</v>
      </c>
      <c r="C486" t="s">
        <v>75</v>
      </c>
      <c r="D486" s="1">
        <v>45346</v>
      </c>
      <c r="E486" s="1">
        <v>45351</v>
      </c>
      <c r="F486">
        <v>9</v>
      </c>
      <c r="G486">
        <v>169</v>
      </c>
      <c r="H486" t="s">
        <v>27</v>
      </c>
      <c r="I486" t="s">
        <v>546</v>
      </c>
      <c r="J486" t="s">
        <v>28</v>
      </c>
      <c r="K486">
        <f>YEAR(D486)</f>
        <v>2024</v>
      </c>
      <c r="L486" t="str">
        <f>TEXT(D486,"mmm")</f>
        <v>Feb</v>
      </c>
      <c r="M486" t="str">
        <f>TEXT(D486,"ddd")</f>
        <v>Sat</v>
      </c>
      <c r="N486">
        <f>DATEDIF(D486, E486, "d")</f>
        <v>5</v>
      </c>
      <c r="O486">
        <f>ROUND(Table1[[#This Row],[Unit Price]]*Table1[[#This Row],[Quantity]]*VLOOKUP(C486,Table2[#All],2,FALSE),0)</f>
        <v>1141</v>
      </c>
      <c r="P486">
        <f>ROUND(F486*G486,0)</f>
        <v>1521</v>
      </c>
      <c r="Q486">
        <f>ROUND((G486*F486)-O486,0)</f>
        <v>380</v>
      </c>
    </row>
    <row r="487" spans="1:17">
      <c r="A487" t="s">
        <v>80</v>
      </c>
      <c r="B487" t="s">
        <v>30</v>
      </c>
      <c r="C487" t="s">
        <v>41</v>
      </c>
      <c r="D487" s="1">
        <v>45678</v>
      </c>
      <c r="E487" s="1">
        <v>45692</v>
      </c>
      <c r="F487">
        <v>8</v>
      </c>
      <c r="G487">
        <v>849</v>
      </c>
      <c r="H487" t="s">
        <v>27</v>
      </c>
      <c r="I487" t="s">
        <v>550</v>
      </c>
      <c r="J487" t="s">
        <v>18</v>
      </c>
      <c r="K487">
        <f>YEAR(D487)</f>
        <v>2025</v>
      </c>
      <c r="L487" t="str">
        <f>TEXT(D487,"mmm")</f>
        <v>Jan</v>
      </c>
      <c r="M487" t="str">
        <f>TEXT(D487,"ddd")</f>
        <v>Tue</v>
      </c>
      <c r="N487">
        <f>DATEDIF(D487, E487, "d")</f>
        <v>14</v>
      </c>
      <c r="O487">
        <f>ROUND(Table1[[#This Row],[Unit Price]]*Table1[[#This Row],[Quantity]]*VLOOKUP(C487,Table2[#All],2,FALSE),0)</f>
        <v>4415</v>
      </c>
      <c r="P487">
        <f>ROUND(F487*G487,0)</f>
        <v>6792</v>
      </c>
      <c r="Q487">
        <f>ROUND((G487*F487)-O487,0)</f>
        <v>2377</v>
      </c>
    </row>
    <row r="488" spans="1:17">
      <c r="A488" t="s">
        <v>332</v>
      </c>
      <c r="B488" t="s">
        <v>16</v>
      </c>
      <c r="C488" t="s">
        <v>59</v>
      </c>
      <c r="D488" s="1">
        <v>45320</v>
      </c>
      <c r="E488" s="1">
        <v>45324</v>
      </c>
      <c r="F488">
        <v>5</v>
      </c>
      <c r="G488">
        <v>692</v>
      </c>
      <c r="H488" t="s">
        <v>13</v>
      </c>
      <c r="I488" t="s">
        <v>551</v>
      </c>
      <c r="J488" t="s">
        <v>18</v>
      </c>
      <c r="K488">
        <f>YEAR(D488)</f>
        <v>2024</v>
      </c>
      <c r="L488" t="str">
        <f>TEXT(D488,"mmm")</f>
        <v>Jan</v>
      </c>
      <c r="M488" t="str">
        <f>TEXT(D488,"ddd")</f>
        <v>Mon</v>
      </c>
      <c r="N488">
        <f>DATEDIF(D488, E488, "d")</f>
        <v>4</v>
      </c>
      <c r="O488">
        <f>ROUND(Table1[[#This Row],[Unit Price]]*Table1[[#This Row],[Quantity]]*VLOOKUP(C488,Table2[#All],2,FALSE),0)</f>
        <v>2249</v>
      </c>
      <c r="P488">
        <f>ROUND(F488*G488,0)</f>
        <v>3460</v>
      </c>
      <c r="Q488">
        <f>ROUND((G488*F488)-O488,0)</f>
        <v>1211</v>
      </c>
    </row>
    <row r="489" spans="1:17">
      <c r="A489" t="s">
        <v>430</v>
      </c>
      <c r="B489" t="s">
        <v>23</v>
      </c>
      <c r="C489" t="s">
        <v>24</v>
      </c>
      <c r="D489" s="1">
        <v>45988</v>
      </c>
      <c r="E489" s="1">
        <v>45997</v>
      </c>
      <c r="F489">
        <v>7</v>
      </c>
      <c r="G489">
        <v>579</v>
      </c>
      <c r="H489" t="s">
        <v>13</v>
      </c>
      <c r="I489" t="s">
        <v>550</v>
      </c>
      <c r="J489" t="s">
        <v>45</v>
      </c>
      <c r="K489">
        <f>YEAR(D489)</f>
        <v>2025</v>
      </c>
      <c r="L489" t="str">
        <f>TEXT(D489,"mmm")</f>
        <v>Nov</v>
      </c>
      <c r="M489" t="str">
        <f>TEXT(D489,"ddd")</f>
        <v>Thu</v>
      </c>
      <c r="N489">
        <f>DATEDIF(D489, E489, "d")</f>
        <v>9</v>
      </c>
      <c r="O489">
        <f>ROUND(Table1[[#This Row],[Unit Price]]*Table1[[#This Row],[Quantity]]*VLOOKUP(C489,Table2[#All],2,FALSE),0)</f>
        <v>2229</v>
      </c>
      <c r="P489">
        <f>ROUND(F489*G489,0)</f>
        <v>4053</v>
      </c>
      <c r="Q489">
        <f>ROUND((G489*F489)-O489,0)</f>
        <v>1824</v>
      </c>
    </row>
    <row r="490" spans="1:17">
      <c r="A490" t="s">
        <v>302</v>
      </c>
      <c r="B490" t="s">
        <v>30</v>
      </c>
      <c r="C490" t="s">
        <v>49</v>
      </c>
      <c r="D490" s="1">
        <v>45608</v>
      </c>
      <c r="E490" s="1">
        <v>45620</v>
      </c>
      <c r="F490">
        <v>3</v>
      </c>
      <c r="G490">
        <v>843</v>
      </c>
      <c r="H490" t="s">
        <v>27</v>
      </c>
      <c r="I490" t="s">
        <v>551</v>
      </c>
      <c r="J490" t="s">
        <v>18</v>
      </c>
      <c r="K490">
        <f>YEAR(D490)</f>
        <v>2024</v>
      </c>
      <c r="L490" t="str">
        <f>TEXT(D490,"mmm")</f>
        <v>Nov</v>
      </c>
      <c r="M490" t="str">
        <f>TEXT(D490,"ddd")</f>
        <v>Tue</v>
      </c>
      <c r="N490">
        <f>DATEDIF(D490, E490, "d")</f>
        <v>12</v>
      </c>
      <c r="O490">
        <f>ROUND(Table1[[#This Row],[Unit Price]]*Table1[[#This Row],[Quantity]]*VLOOKUP(C490,Table2[#All],2,FALSE),0)</f>
        <v>1770</v>
      </c>
      <c r="P490">
        <f>ROUND(F490*G490,0)</f>
        <v>2529</v>
      </c>
      <c r="Q490">
        <f>ROUND((G490*F490)-O490,0)</f>
        <v>759</v>
      </c>
    </row>
    <row r="491" spans="1:17">
      <c r="A491" t="s">
        <v>265</v>
      </c>
      <c r="B491" t="s">
        <v>11</v>
      </c>
      <c r="C491" t="s">
        <v>35</v>
      </c>
      <c r="D491" s="1">
        <v>45389</v>
      </c>
      <c r="E491" s="1">
        <v>45401</v>
      </c>
      <c r="F491">
        <v>1</v>
      </c>
      <c r="G491">
        <v>284</v>
      </c>
      <c r="H491" t="s">
        <v>27</v>
      </c>
      <c r="I491" t="s">
        <v>549</v>
      </c>
      <c r="J491" t="s">
        <v>14</v>
      </c>
      <c r="K491">
        <f>YEAR(D491)</f>
        <v>2024</v>
      </c>
      <c r="L491" t="str">
        <f>TEXT(D491,"mmm")</f>
        <v>Apr</v>
      </c>
      <c r="M491" t="str">
        <f>TEXT(D491,"ddd")</f>
        <v>Sun</v>
      </c>
      <c r="N491">
        <f>DATEDIF(D491, E491, "d")</f>
        <v>12</v>
      </c>
      <c r="O491">
        <f>ROUND(Table1[[#This Row],[Unit Price]]*Table1[[#This Row],[Quantity]]*VLOOKUP(C491,Table2[#All],2,FALSE),0)</f>
        <v>227</v>
      </c>
      <c r="P491">
        <f>ROUND(F491*G491,0)</f>
        <v>284</v>
      </c>
      <c r="Q491">
        <f>ROUND((G491*F491)-O491,0)</f>
        <v>57</v>
      </c>
    </row>
    <row r="492" spans="1:17">
      <c r="A492" t="s">
        <v>243</v>
      </c>
      <c r="B492" t="s">
        <v>11</v>
      </c>
      <c r="C492" t="s">
        <v>26</v>
      </c>
      <c r="D492" s="1">
        <v>45545</v>
      </c>
      <c r="E492" s="1">
        <v>45556</v>
      </c>
      <c r="F492">
        <v>3</v>
      </c>
      <c r="G492">
        <v>969</v>
      </c>
      <c r="H492" t="s">
        <v>13</v>
      </c>
      <c r="I492" t="s">
        <v>32</v>
      </c>
      <c r="J492" t="s">
        <v>28</v>
      </c>
      <c r="K492">
        <f>YEAR(D492)</f>
        <v>2024</v>
      </c>
      <c r="L492" t="str">
        <f>TEXT(D492,"mmm")</f>
        <v>Sep</v>
      </c>
      <c r="M492" t="str">
        <f>TEXT(D492,"ddd")</f>
        <v>Tue</v>
      </c>
      <c r="N492">
        <f>DATEDIF(D492, E492, "d")</f>
        <v>11</v>
      </c>
      <c r="O492">
        <f>ROUND(Table1[[#This Row],[Unit Price]]*Table1[[#This Row],[Quantity]]*VLOOKUP(C492,Table2[#All],2,FALSE),0)</f>
        <v>1890</v>
      </c>
      <c r="P492">
        <f>ROUND(F492*G492,0)</f>
        <v>2907</v>
      </c>
      <c r="Q492">
        <f>ROUND((G492*F492)-O492,0)</f>
        <v>1017</v>
      </c>
    </row>
    <row r="493" spans="1:17">
      <c r="A493" t="s">
        <v>110</v>
      </c>
      <c r="B493" t="s">
        <v>30</v>
      </c>
      <c r="C493" t="s">
        <v>75</v>
      </c>
      <c r="D493" s="1">
        <v>45588</v>
      </c>
      <c r="E493" s="1">
        <v>45600</v>
      </c>
      <c r="F493">
        <v>1</v>
      </c>
      <c r="G493">
        <v>961</v>
      </c>
      <c r="H493" t="s">
        <v>27</v>
      </c>
      <c r="I493" t="s">
        <v>546</v>
      </c>
      <c r="J493" t="s">
        <v>14</v>
      </c>
      <c r="K493">
        <f>YEAR(D493)</f>
        <v>2024</v>
      </c>
      <c r="L493" t="str">
        <f>TEXT(D493,"mmm")</f>
        <v>Oct</v>
      </c>
      <c r="M493" t="str">
        <f>TEXT(D493,"ddd")</f>
        <v>Wed</v>
      </c>
      <c r="N493">
        <f>DATEDIF(D493, E493, "d")</f>
        <v>12</v>
      </c>
      <c r="O493">
        <f>ROUND(Table1[[#This Row],[Unit Price]]*Table1[[#This Row],[Quantity]]*VLOOKUP(C493,Table2[#All],2,FALSE),0)</f>
        <v>721</v>
      </c>
      <c r="P493">
        <f>ROUND(F493*G493,0)</f>
        <v>961</v>
      </c>
      <c r="Q493">
        <f>ROUND((G493*F493)-O493,0)</f>
        <v>240</v>
      </c>
    </row>
    <row r="494" spans="1:17">
      <c r="A494" t="s">
        <v>278</v>
      </c>
      <c r="B494" t="s">
        <v>30</v>
      </c>
      <c r="C494" t="s">
        <v>49</v>
      </c>
      <c r="D494" s="1">
        <v>45332</v>
      </c>
      <c r="E494" s="1">
        <v>45345</v>
      </c>
      <c r="F494">
        <v>6</v>
      </c>
      <c r="G494">
        <v>992</v>
      </c>
      <c r="H494" t="s">
        <v>27</v>
      </c>
      <c r="I494" t="s">
        <v>549</v>
      </c>
      <c r="J494" t="s">
        <v>14</v>
      </c>
      <c r="K494">
        <f>YEAR(D494)</f>
        <v>2024</v>
      </c>
      <c r="L494" t="str">
        <f>TEXT(D494,"mmm")</f>
        <v>Feb</v>
      </c>
      <c r="M494" t="str">
        <f>TEXT(D494,"ddd")</f>
        <v>Sat</v>
      </c>
      <c r="N494">
        <f>DATEDIF(D494, E494, "d")</f>
        <v>13</v>
      </c>
      <c r="O494">
        <f>ROUND(Table1[[#This Row],[Unit Price]]*Table1[[#This Row],[Quantity]]*VLOOKUP(C494,Table2[#All],2,FALSE),0)</f>
        <v>4166</v>
      </c>
      <c r="P494">
        <f>ROUND(F494*G494,0)</f>
        <v>5952</v>
      </c>
      <c r="Q494">
        <f>ROUND((G494*F494)-O494,0)</f>
        <v>1786</v>
      </c>
    </row>
    <row r="495" spans="1:17">
      <c r="A495" t="s">
        <v>203</v>
      </c>
      <c r="B495" t="s">
        <v>16</v>
      </c>
      <c r="C495" t="s">
        <v>43</v>
      </c>
      <c r="D495" s="1">
        <v>45387</v>
      </c>
      <c r="E495" s="1">
        <v>45396</v>
      </c>
      <c r="F495">
        <v>2</v>
      </c>
      <c r="G495">
        <v>546</v>
      </c>
      <c r="H495" t="s">
        <v>27</v>
      </c>
      <c r="I495" t="s">
        <v>546</v>
      </c>
      <c r="J495" t="s">
        <v>28</v>
      </c>
      <c r="K495">
        <f>YEAR(D495)</f>
        <v>2024</v>
      </c>
      <c r="L495" t="str">
        <f>TEXT(D495,"mmm")</f>
        <v>Apr</v>
      </c>
      <c r="M495" t="str">
        <f>TEXT(D495,"ddd")</f>
        <v>Fri</v>
      </c>
      <c r="N495">
        <f>DATEDIF(D495, E495, "d")</f>
        <v>9</v>
      </c>
      <c r="O495">
        <f>ROUND(Table1[[#This Row],[Unit Price]]*Table1[[#This Row],[Quantity]]*VLOOKUP(C495,Table2[#All],2,FALSE),0)</f>
        <v>655</v>
      </c>
      <c r="P495">
        <f>ROUND(F495*G495,0)</f>
        <v>1092</v>
      </c>
      <c r="Q495">
        <f>ROUND((G495*F495)-O495,0)</f>
        <v>437</v>
      </c>
    </row>
    <row r="496" spans="1:17">
      <c r="A496" t="s">
        <v>372</v>
      </c>
      <c r="B496" t="s">
        <v>20</v>
      </c>
      <c r="C496" t="s">
        <v>82</v>
      </c>
      <c r="D496" s="1">
        <v>46007</v>
      </c>
      <c r="E496" s="1">
        <v>46018</v>
      </c>
      <c r="F496">
        <v>1</v>
      </c>
      <c r="G496">
        <v>130</v>
      </c>
      <c r="H496" t="s">
        <v>27</v>
      </c>
      <c r="I496" t="s">
        <v>550</v>
      </c>
      <c r="J496" t="s">
        <v>14</v>
      </c>
      <c r="K496">
        <f>YEAR(D496)</f>
        <v>2025</v>
      </c>
      <c r="L496" t="str">
        <f>TEXT(D496,"mmm")</f>
        <v>Dec</v>
      </c>
      <c r="M496" t="str">
        <f>TEXT(D496,"ddd")</f>
        <v>Tue</v>
      </c>
      <c r="N496">
        <f>DATEDIF(D496, E496, "d")</f>
        <v>11</v>
      </c>
      <c r="O496">
        <f>ROUND(Table1[[#This Row],[Unit Price]]*Table1[[#This Row],[Quantity]]*VLOOKUP(C496,Table2[#All],2,FALSE),0)</f>
        <v>104</v>
      </c>
      <c r="P496">
        <f>ROUND(F496*G496,0)</f>
        <v>130</v>
      </c>
      <c r="Q496">
        <f>ROUND((G496*F496)-O496,0)</f>
        <v>26</v>
      </c>
    </row>
    <row r="497" spans="1:17">
      <c r="A497" t="s">
        <v>665</v>
      </c>
      <c r="B497" t="s">
        <v>16</v>
      </c>
      <c r="C497" t="s">
        <v>55</v>
      </c>
      <c r="D497" s="1">
        <v>45366</v>
      </c>
      <c r="E497" s="1">
        <v>45370</v>
      </c>
      <c r="F497">
        <v>1</v>
      </c>
      <c r="G497">
        <v>90</v>
      </c>
      <c r="H497" t="s">
        <v>13</v>
      </c>
      <c r="I497" t="s">
        <v>550</v>
      </c>
      <c r="J497" t="s">
        <v>45</v>
      </c>
      <c r="K497">
        <f>YEAR(D497)</f>
        <v>2024</v>
      </c>
      <c r="L497" t="str">
        <f>TEXT(D497,"mmm")</f>
        <v>Mar</v>
      </c>
      <c r="M497" t="str">
        <f>TEXT(D497,"ddd")</f>
        <v>Fri</v>
      </c>
      <c r="N497">
        <f>DATEDIF(D497, E497, "d")</f>
        <v>4</v>
      </c>
      <c r="O497">
        <f>ROUND(Table1[[#This Row],[Unit Price]]*Table1[[#This Row],[Quantity]]*VLOOKUP(C497,Table2[#All],2,FALSE),0)</f>
        <v>50</v>
      </c>
      <c r="P497">
        <f>ROUND(F497*G497,0)</f>
        <v>90</v>
      </c>
      <c r="Q497">
        <f>ROUND((G497*F497)-O497,0)</f>
        <v>40</v>
      </c>
    </row>
    <row r="498" spans="1:17">
      <c r="A498" t="s">
        <v>36</v>
      </c>
      <c r="B498" t="s">
        <v>23</v>
      </c>
      <c r="C498" t="s">
        <v>37</v>
      </c>
      <c r="D498" s="1">
        <v>45430</v>
      </c>
      <c r="E498" s="1">
        <v>45434</v>
      </c>
      <c r="F498">
        <v>9</v>
      </c>
      <c r="G498">
        <v>234</v>
      </c>
      <c r="H498" t="s">
        <v>13</v>
      </c>
      <c r="I498" t="s">
        <v>32</v>
      </c>
      <c r="J498" t="s">
        <v>18</v>
      </c>
      <c r="K498">
        <f>YEAR(D498)</f>
        <v>2024</v>
      </c>
      <c r="L498" t="str">
        <f>TEXT(D498,"mmm")</f>
        <v>May</v>
      </c>
      <c r="M498" t="str">
        <f>TEXT(D498,"ddd")</f>
        <v>Sat</v>
      </c>
      <c r="N498">
        <f>DATEDIF(D498, E498, "d")</f>
        <v>4</v>
      </c>
      <c r="O498">
        <f>ROUND(Table1[[#This Row],[Unit Price]]*Table1[[#This Row],[Quantity]]*VLOOKUP(C498,Table2[#All],2,FALSE),0)</f>
        <v>1053</v>
      </c>
      <c r="P498">
        <f>ROUND(F498*G498,0)</f>
        <v>2106</v>
      </c>
      <c r="Q498">
        <f>ROUND((G498*F498)-O498,0)</f>
        <v>1053</v>
      </c>
    </row>
    <row r="499" spans="1:17">
      <c r="A499" t="s">
        <v>611</v>
      </c>
      <c r="B499" t="s">
        <v>20</v>
      </c>
      <c r="C499" t="s">
        <v>41</v>
      </c>
      <c r="D499" s="1">
        <v>45485</v>
      </c>
      <c r="E499" s="1">
        <v>45486</v>
      </c>
      <c r="F499">
        <v>1</v>
      </c>
      <c r="G499">
        <v>50</v>
      </c>
      <c r="H499" t="s">
        <v>13</v>
      </c>
      <c r="I499" t="s">
        <v>550</v>
      </c>
      <c r="J499" t="s">
        <v>28</v>
      </c>
      <c r="K499">
        <f>YEAR(D499)</f>
        <v>2024</v>
      </c>
      <c r="L499" t="str">
        <f>TEXT(D499,"mmm")</f>
        <v>Jul</v>
      </c>
      <c r="M499" t="str">
        <f>TEXT(D499,"ddd")</f>
        <v>Fri</v>
      </c>
      <c r="N499">
        <f>DATEDIF(D499, E499, "d")</f>
        <v>1</v>
      </c>
      <c r="O499">
        <f>ROUND(Table1[[#This Row],[Unit Price]]*Table1[[#This Row],[Quantity]]*VLOOKUP(C499,Table2[#All],2,FALSE),0)</f>
        <v>33</v>
      </c>
      <c r="P499">
        <f>ROUND(F499*G499,0)</f>
        <v>50</v>
      </c>
      <c r="Q499">
        <f>ROUND((G499*F499)-O499,0)</f>
        <v>17</v>
      </c>
    </row>
    <row r="500" spans="1:17">
      <c r="A500" t="s">
        <v>271</v>
      </c>
      <c r="B500" t="s">
        <v>23</v>
      </c>
      <c r="C500" t="s">
        <v>24</v>
      </c>
      <c r="D500" s="1">
        <v>45370</v>
      </c>
      <c r="E500" s="1">
        <v>45390</v>
      </c>
      <c r="F500">
        <v>4</v>
      </c>
      <c r="G500">
        <v>347</v>
      </c>
      <c r="H500" t="s">
        <v>27</v>
      </c>
      <c r="I500" t="s">
        <v>550</v>
      </c>
      <c r="J500" t="s">
        <v>18</v>
      </c>
      <c r="K500">
        <f>YEAR(D500)</f>
        <v>2024</v>
      </c>
      <c r="L500" t="str">
        <f>TEXT(D500,"mmm")</f>
        <v>Mar</v>
      </c>
      <c r="M500" t="str">
        <f>TEXT(D500,"ddd")</f>
        <v>Tue</v>
      </c>
      <c r="N500">
        <f>DATEDIF(D500, E500, "d")</f>
        <v>20</v>
      </c>
      <c r="O500">
        <f>ROUND(Table1[[#This Row],[Unit Price]]*Table1[[#This Row],[Quantity]]*VLOOKUP(C500,Table2[#All],2,FALSE),0)</f>
        <v>763</v>
      </c>
      <c r="P500">
        <f>ROUND(F500*G500,0)</f>
        <v>1388</v>
      </c>
      <c r="Q500">
        <f>ROUND((G500*F500)-O500,0)</f>
        <v>625</v>
      </c>
    </row>
    <row r="501" spans="1:17">
      <c r="A501" t="s">
        <v>162</v>
      </c>
      <c r="B501" t="s">
        <v>16</v>
      </c>
      <c r="C501" t="s">
        <v>17</v>
      </c>
      <c r="D501" s="1">
        <v>45629</v>
      </c>
      <c r="E501" s="1">
        <v>45633</v>
      </c>
      <c r="F501">
        <v>9</v>
      </c>
      <c r="G501">
        <v>318</v>
      </c>
      <c r="H501" t="s">
        <v>13</v>
      </c>
      <c r="I501" t="s">
        <v>549</v>
      </c>
      <c r="J501" t="s">
        <v>18</v>
      </c>
      <c r="K501">
        <f>YEAR(D501)</f>
        <v>2024</v>
      </c>
      <c r="L501" t="str">
        <f>TEXT(D501,"mmm")</f>
        <v>Dec</v>
      </c>
      <c r="M501" t="str">
        <f>TEXT(D501,"ddd")</f>
        <v>Tue</v>
      </c>
      <c r="N501">
        <f>DATEDIF(D501, E501, "d")</f>
        <v>4</v>
      </c>
      <c r="O501">
        <f>ROUND(Table1[[#This Row],[Unit Price]]*Table1[[#This Row],[Quantity]]*VLOOKUP(C501,Table2[#All],2,FALSE),0)</f>
        <v>1431</v>
      </c>
      <c r="P501">
        <f>ROUND(F501*G501,0)</f>
        <v>2862</v>
      </c>
      <c r="Q501">
        <f>ROUND((G501*F501)-O501,0)</f>
        <v>1431</v>
      </c>
    </row>
    <row r="502" spans="1:17">
      <c r="A502" t="s">
        <v>444</v>
      </c>
      <c r="B502" t="s">
        <v>11</v>
      </c>
      <c r="C502" t="s">
        <v>12</v>
      </c>
      <c r="D502" s="1">
        <v>45678</v>
      </c>
      <c r="E502" s="1">
        <v>45693</v>
      </c>
      <c r="F502">
        <v>1</v>
      </c>
      <c r="G502">
        <v>102</v>
      </c>
      <c r="H502" t="s">
        <v>27</v>
      </c>
      <c r="I502" t="s">
        <v>550</v>
      </c>
      <c r="J502" t="s">
        <v>18</v>
      </c>
      <c r="K502">
        <f>YEAR(D502)</f>
        <v>2025</v>
      </c>
      <c r="L502" t="str">
        <f>TEXT(D502,"mmm")</f>
        <v>Jan</v>
      </c>
      <c r="M502" t="str">
        <f>TEXT(D502,"ddd")</f>
        <v>Tue</v>
      </c>
      <c r="N502">
        <f>DATEDIF(D502, E502, "d")</f>
        <v>15</v>
      </c>
      <c r="O502">
        <f>ROUND(Table1[[#This Row],[Unit Price]]*Table1[[#This Row],[Quantity]]*VLOOKUP(C502,Table2[#All],2,FALSE),0)</f>
        <v>77</v>
      </c>
      <c r="P502">
        <f>ROUND(F502*G502,0)</f>
        <v>102</v>
      </c>
      <c r="Q502">
        <f>ROUND((G502*F502)-O502,0)</f>
        <v>25</v>
      </c>
    </row>
    <row r="503" spans="1:17">
      <c r="A503" t="s">
        <v>520</v>
      </c>
      <c r="B503" t="s">
        <v>16</v>
      </c>
      <c r="C503" t="s">
        <v>55</v>
      </c>
      <c r="D503" s="1">
        <v>45912</v>
      </c>
      <c r="E503" s="1">
        <v>45914</v>
      </c>
      <c r="F503">
        <v>6</v>
      </c>
      <c r="G503">
        <v>806</v>
      </c>
      <c r="H503" t="s">
        <v>13</v>
      </c>
      <c r="I503" t="s">
        <v>32</v>
      </c>
      <c r="J503" t="s">
        <v>14</v>
      </c>
      <c r="K503">
        <f>YEAR(D503)</f>
        <v>2025</v>
      </c>
      <c r="L503" t="str">
        <f>TEXT(D503,"mmm")</f>
        <v>Sep</v>
      </c>
      <c r="M503" t="str">
        <f>TEXT(D503,"ddd")</f>
        <v>Fri</v>
      </c>
      <c r="N503">
        <f>DATEDIF(D503, E503, "d")</f>
        <v>2</v>
      </c>
      <c r="O503">
        <f>ROUND(Table1[[#This Row],[Unit Price]]*Table1[[#This Row],[Quantity]]*VLOOKUP(C503,Table2[#All],2,FALSE),0)</f>
        <v>2660</v>
      </c>
      <c r="P503">
        <f>ROUND(F503*G503,0)</f>
        <v>4836</v>
      </c>
      <c r="Q503">
        <f>ROUND((G503*F503)-O503,0)</f>
        <v>2176</v>
      </c>
    </row>
    <row r="504" spans="1:17">
      <c r="A504" t="s">
        <v>303</v>
      </c>
      <c r="B504" t="s">
        <v>11</v>
      </c>
      <c r="C504" t="s">
        <v>57</v>
      </c>
      <c r="D504" s="1">
        <v>45483</v>
      </c>
      <c r="E504" s="1">
        <v>45487</v>
      </c>
      <c r="F504">
        <v>3</v>
      </c>
      <c r="G504">
        <v>533</v>
      </c>
      <c r="H504" t="s">
        <v>27</v>
      </c>
      <c r="I504" t="s">
        <v>549</v>
      </c>
      <c r="J504" t="s">
        <v>18</v>
      </c>
      <c r="K504">
        <f>YEAR(D504)</f>
        <v>2024</v>
      </c>
      <c r="L504" t="str">
        <f>TEXT(D504,"mmm")</f>
        <v>Jul</v>
      </c>
      <c r="M504" t="str">
        <f>TEXT(D504,"ddd")</f>
        <v>Wed</v>
      </c>
      <c r="N504">
        <f>DATEDIF(D504, E504, "d")</f>
        <v>4</v>
      </c>
      <c r="O504">
        <f>ROUND(Table1[[#This Row],[Unit Price]]*Table1[[#This Row],[Quantity]]*VLOOKUP(C504,Table2[#All],2,FALSE),0)</f>
        <v>1359</v>
      </c>
      <c r="P504">
        <f>ROUND(F504*G504,0)</f>
        <v>1599</v>
      </c>
      <c r="Q504">
        <f>ROUND((G504*F504)-O504,0)</f>
        <v>240</v>
      </c>
    </row>
    <row r="505" spans="1:17">
      <c r="A505" t="s">
        <v>397</v>
      </c>
      <c r="B505" t="s">
        <v>23</v>
      </c>
      <c r="C505" t="s">
        <v>69</v>
      </c>
      <c r="D505" s="1">
        <v>45810</v>
      </c>
      <c r="E505" s="1">
        <v>45817</v>
      </c>
      <c r="F505">
        <v>6</v>
      </c>
      <c r="G505">
        <v>974</v>
      </c>
      <c r="H505" t="s">
        <v>13</v>
      </c>
      <c r="I505" t="s">
        <v>548</v>
      </c>
      <c r="J505" t="s">
        <v>18</v>
      </c>
      <c r="K505">
        <f>YEAR(D505)</f>
        <v>2025</v>
      </c>
      <c r="L505" t="str">
        <f>TEXT(D505,"mmm")</f>
        <v>Jun</v>
      </c>
      <c r="M505" t="str">
        <f>TEXT(D505,"ddd")</f>
        <v>Mon</v>
      </c>
      <c r="N505">
        <f>DATEDIF(D505, E505, "d")</f>
        <v>7</v>
      </c>
      <c r="O505">
        <f>ROUND(Table1[[#This Row],[Unit Price]]*Table1[[#This Row],[Quantity]]*VLOOKUP(C505,Table2[#All],2,FALSE),0)</f>
        <v>3214</v>
      </c>
      <c r="P505">
        <f>ROUND(F505*G505,0)</f>
        <v>5844</v>
      </c>
      <c r="Q505">
        <f>ROUND((G505*F505)-O505,0)</f>
        <v>2630</v>
      </c>
    </row>
    <row r="506" spans="1:17">
      <c r="A506" t="s">
        <v>179</v>
      </c>
      <c r="B506" t="s">
        <v>23</v>
      </c>
      <c r="C506" t="s">
        <v>24</v>
      </c>
      <c r="D506" s="1">
        <v>45350</v>
      </c>
      <c r="E506" s="1">
        <v>45356</v>
      </c>
      <c r="F506">
        <v>7</v>
      </c>
      <c r="G506">
        <v>31</v>
      </c>
      <c r="H506" t="s">
        <v>27</v>
      </c>
      <c r="I506" t="s">
        <v>546</v>
      </c>
      <c r="J506" t="s">
        <v>18</v>
      </c>
      <c r="K506">
        <f>YEAR(D506)</f>
        <v>2024</v>
      </c>
      <c r="L506" t="str">
        <f>TEXT(D506,"mmm")</f>
        <v>Feb</v>
      </c>
      <c r="M506" t="str">
        <f>TEXT(D506,"ddd")</f>
        <v>Wed</v>
      </c>
      <c r="N506">
        <f>DATEDIF(D506, E506, "d")</f>
        <v>6</v>
      </c>
      <c r="O506">
        <f>ROUND(Table1[[#This Row],[Unit Price]]*Table1[[#This Row],[Quantity]]*VLOOKUP(C506,Table2[#All],2,FALSE),0)</f>
        <v>119</v>
      </c>
      <c r="P506">
        <f>ROUND(F506*G506,0)</f>
        <v>217</v>
      </c>
      <c r="Q506">
        <f>ROUND((G506*F506)-O506,0)</f>
        <v>98</v>
      </c>
    </row>
    <row r="507" spans="1:17">
      <c r="A507" t="s">
        <v>503</v>
      </c>
      <c r="B507" t="s">
        <v>23</v>
      </c>
      <c r="C507" t="s">
        <v>69</v>
      </c>
      <c r="D507" s="1">
        <v>45728</v>
      </c>
      <c r="E507" s="1">
        <v>45732</v>
      </c>
      <c r="F507">
        <v>3</v>
      </c>
      <c r="G507">
        <v>154</v>
      </c>
      <c r="H507" t="s">
        <v>27</v>
      </c>
      <c r="I507" t="s">
        <v>549</v>
      </c>
      <c r="J507" t="s">
        <v>28</v>
      </c>
      <c r="K507">
        <f>YEAR(D507)</f>
        <v>2025</v>
      </c>
      <c r="L507" t="str">
        <f>TEXT(D507,"mmm")</f>
        <v>Mar</v>
      </c>
      <c r="M507" t="str">
        <f>TEXT(D507,"ddd")</f>
        <v>Wed</v>
      </c>
      <c r="N507">
        <f>DATEDIF(D507, E507, "d")</f>
        <v>4</v>
      </c>
      <c r="O507">
        <f>ROUND(Table1[[#This Row],[Unit Price]]*Table1[[#This Row],[Quantity]]*VLOOKUP(C507,Table2[#All],2,FALSE),0)</f>
        <v>254</v>
      </c>
      <c r="P507">
        <f>ROUND(F507*G507,0)</f>
        <v>462</v>
      </c>
      <c r="Q507">
        <f>ROUND((G507*F507)-O507,0)</f>
        <v>208</v>
      </c>
    </row>
    <row r="508" spans="1:17">
      <c r="A508" t="s">
        <v>85</v>
      </c>
      <c r="B508" t="s">
        <v>11</v>
      </c>
      <c r="C508" t="s">
        <v>12</v>
      </c>
      <c r="D508" s="1">
        <v>45645</v>
      </c>
      <c r="E508" s="1">
        <v>45651</v>
      </c>
      <c r="F508">
        <v>3</v>
      </c>
      <c r="G508">
        <v>568</v>
      </c>
      <c r="H508" t="s">
        <v>27</v>
      </c>
      <c r="I508" t="s">
        <v>550</v>
      </c>
      <c r="J508" t="s">
        <v>45</v>
      </c>
      <c r="K508">
        <f>YEAR(D508)</f>
        <v>2024</v>
      </c>
      <c r="L508" t="str">
        <f>TEXT(D508,"mmm")</f>
        <v>Dec</v>
      </c>
      <c r="M508" t="str">
        <f>TEXT(D508,"ddd")</f>
        <v>Thu</v>
      </c>
      <c r="N508">
        <f>DATEDIF(D508, E508, "d")</f>
        <v>6</v>
      </c>
      <c r="O508">
        <f>ROUND(Table1[[#This Row],[Unit Price]]*Table1[[#This Row],[Quantity]]*VLOOKUP(C508,Table2[#All],2,FALSE),0)</f>
        <v>1278</v>
      </c>
      <c r="P508">
        <f>ROUND(F508*G508,0)</f>
        <v>1704</v>
      </c>
      <c r="Q508">
        <f>ROUND((G508*F508)-O508,0)</f>
        <v>426</v>
      </c>
    </row>
    <row r="509" spans="1:17">
      <c r="A509" t="s">
        <v>85</v>
      </c>
      <c r="B509" t="s">
        <v>23</v>
      </c>
      <c r="C509" t="s">
        <v>24</v>
      </c>
      <c r="D509" s="1">
        <v>45822</v>
      </c>
      <c r="E509" s="1">
        <v>45836</v>
      </c>
      <c r="F509">
        <v>6</v>
      </c>
      <c r="G509">
        <v>218</v>
      </c>
      <c r="H509" t="s">
        <v>27</v>
      </c>
      <c r="I509" t="s">
        <v>32</v>
      </c>
      <c r="J509" t="s">
        <v>14</v>
      </c>
      <c r="K509">
        <f>YEAR(D509)</f>
        <v>2025</v>
      </c>
      <c r="L509" t="str">
        <f>TEXT(D509,"mmm")</f>
        <v>Jun</v>
      </c>
      <c r="M509" t="str">
        <f>TEXT(D509,"ddd")</f>
        <v>Sat</v>
      </c>
      <c r="N509">
        <f>DATEDIF(D509, E509, "d")</f>
        <v>14</v>
      </c>
      <c r="O509">
        <f>ROUND(Table1[[#This Row],[Unit Price]]*Table1[[#This Row],[Quantity]]*VLOOKUP(C509,Table2[#All],2,FALSE),0)</f>
        <v>719</v>
      </c>
      <c r="P509">
        <f>ROUND(F509*G509,0)</f>
        <v>1308</v>
      </c>
      <c r="Q509">
        <f>ROUND((G509*F509)-O509,0)</f>
        <v>589</v>
      </c>
    </row>
    <row r="510" spans="1:17">
      <c r="A510" t="s">
        <v>72</v>
      </c>
      <c r="B510" t="s">
        <v>11</v>
      </c>
      <c r="C510" t="s">
        <v>35</v>
      </c>
      <c r="D510" s="1">
        <v>45418</v>
      </c>
      <c r="E510" s="1">
        <v>45431</v>
      </c>
      <c r="F510">
        <v>10</v>
      </c>
      <c r="G510">
        <v>618</v>
      </c>
      <c r="H510" t="s">
        <v>13</v>
      </c>
      <c r="I510" t="s">
        <v>550</v>
      </c>
      <c r="J510" t="s">
        <v>45</v>
      </c>
      <c r="K510">
        <f>YEAR(D510)</f>
        <v>2024</v>
      </c>
      <c r="L510" t="str">
        <f>TEXT(D510,"mmm")</f>
        <v>May</v>
      </c>
      <c r="M510" t="str">
        <f>TEXT(D510,"ddd")</f>
        <v>Mon</v>
      </c>
      <c r="N510">
        <f>DATEDIF(D510, E510, "d")</f>
        <v>13</v>
      </c>
      <c r="O510">
        <f>ROUND(Table1[[#This Row],[Unit Price]]*Table1[[#This Row],[Quantity]]*VLOOKUP(C510,Table2[#All],2,FALSE),0)</f>
        <v>4944</v>
      </c>
      <c r="P510">
        <f>ROUND(F510*G510,0)</f>
        <v>6180</v>
      </c>
      <c r="Q510">
        <f>ROUND((G510*F510)-O510,0)</f>
        <v>1236</v>
      </c>
    </row>
    <row r="511" spans="1:17">
      <c r="A511" t="s">
        <v>72</v>
      </c>
      <c r="B511" t="s">
        <v>16</v>
      </c>
      <c r="C511" t="s">
        <v>17</v>
      </c>
      <c r="D511" s="1">
        <v>45936</v>
      </c>
      <c r="E511" s="1">
        <v>45940</v>
      </c>
      <c r="F511">
        <v>3</v>
      </c>
      <c r="G511">
        <v>908</v>
      </c>
      <c r="H511" t="s">
        <v>27</v>
      </c>
      <c r="I511" t="s">
        <v>546</v>
      </c>
      <c r="J511" t="s">
        <v>14</v>
      </c>
      <c r="K511">
        <f>YEAR(D511)</f>
        <v>2025</v>
      </c>
      <c r="L511" t="str">
        <f>TEXT(D511,"mmm")</f>
        <v>Oct</v>
      </c>
      <c r="M511" t="str">
        <f>TEXT(D511,"ddd")</f>
        <v>Mon</v>
      </c>
      <c r="N511">
        <f>DATEDIF(D511, E511, "d")</f>
        <v>4</v>
      </c>
      <c r="O511">
        <f>ROUND(Table1[[#This Row],[Unit Price]]*Table1[[#This Row],[Quantity]]*VLOOKUP(C511,Table2[#All],2,FALSE),0)</f>
        <v>1362</v>
      </c>
      <c r="P511">
        <f>ROUND(F511*G511,0)</f>
        <v>2724</v>
      </c>
      <c r="Q511">
        <f>ROUND((G511*F511)-O511,0)</f>
        <v>1362</v>
      </c>
    </row>
    <row r="512" spans="1:17">
      <c r="A512" t="s">
        <v>149</v>
      </c>
      <c r="B512" t="s">
        <v>16</v>
      </c>
      <c r="C512" t="s">
        <v>55</v>
      </c>
      <c r="D512" s="1">
        <v>45359</v>
      </c>
      <c r="E512" s="1">
        <v>45369</v>
      </c>
      <c r="F512">
        <v>2</v>
      </c>
      <c r="G512">
        <v>941</v>
      </c>
      <c r="H512" t="s">
        <v>27</v>
      </c>
      <c r="I512" t="s">
        <v>546</v>
      </c>
      <c r="J512" t="s">
        <v>28</v>
      </c>
      <c r="K512">
        <f>YEAR(D512)</f>
        <v>2024</v>
      </c>
      <c r="L512" t="str">
        <f>TEXT(D512,"mmm")</f>
        <v>Mar</v>
      </c>
      <c r="M512" t="str">
        <f>TEXT(D512,"ddd")</f>
        <v>Fri</v>
      </c>
      <c r="N512">
        <f>DATEDIF(D512, E512, "d")</f>
        <v>10</v>
      </c>
      <c r="O512">
        <f>ROUND(Table1[[#This Row],[Unit Price]]*Table1[[#This Row],[Quantity]]*VLOOKUP(C512,Table2[#All],2,FALSE),0)</f>
        <v>1035</v>
      </c>
      <c r="P512">
        <f>ROUND(F512*G512,0)</f>
        <v>1882</v>
      </c>
      <c r="Q512">
        <f>ROUND((G512*F512)-O512,0)</f>
        <v>847</v>
      </c>
    </row>
    <row r="513" spans="1:17">
      <c r="A513" t="s">
        <v>70</v>
      </c>
      <c r="B513" t="s">
        <v>11</v>
      </c>
      <c r="C513" t="s">
        <v>35</v>
      </c>
      <c r="D513" s="1">
        <v>45569</v>
      </c>
      <c r="E513" s="1">
        <v>45572</v>
      </c>
      <c r="F513">
        <v>1</v>
      </c>
      <c r="G513">
        <v>775</v>
      </c>
      <c r="H513" t="s">
        <v>13</v>
      </c>
      <c r="I513" t="s">
        <v>546</v>
      </c>
      <c r="J513" t="s">
        <v>18</v>
      </c>
      <c r="K513">
        <f>YEAR(D513)</f>
        <v>2024</v>
      </c>
      <c r="L513" t="str">
        <f>TEXT(D513,"mmm")</f>
        <v>Oct</v>
      </c>
      <c r="M513" t="str">
        <f>TEXT(D513,"ddd")</f>
        <v>Fri</v>
      </c>
      <c r="N513">
        <f>DATEDIF(D513, E513, "d")</f>
        <v>3</v>
      </c>
      <c r="O513">
        <f>ROUND(Table1[[#This Row],[Unit Price]]*Table1[[#This Row],[Quantity]]*VLOOKUP(C513,Table2[#All],2,FALSE),0)</f>
        <v>620</v>
      </c>
      <c r="P513">
        <f>ROUND(F513*G513,0)</f>
        <v>775</v>
      </c>
      <c r="Q513">
        <f>ROUND((G513*F513)-O513,0)</f>
        <v>155</v>
      </c>
    </row>
    <row r="514" spans="1:17">
      <c r="A514" t="s">
        <v>70</v>
      </c>
      <c r="B514" t="s">
        <v>20</v>
      </c>
      <c r="C514" t="s">
        <v>53</v>
      </c>
      <c r="D514" s="1">
        <v>45915</v>
      </c>
      <c r="E514" s="1">
        <v>45918</v>
      </c>
      <c r="F514">
        <v>8</v>
      </c>
      <c r="G514">
        <v>656</v>
      </c>
      <c r="H514" t="s">
        <v>13</v>
      </c>
      <c r="I514" t="s">
        <v>550</v>
      </c>
      <c r="J514" t="s">
        <v>45</v>
      </c>
      <c r="K514">
        <f>YEAR(D514)</f>
        <v>2025</v>
      </c>
      <c r="L514" t="str">
        <f>TEXT(D514,"mmm")</f>
        <v>Sep</v>
      </c>
      <c r="M514" t="str">
        <f>TEXT(D514,"ddd")</f>
        <v>Mon</v>
      </c>
      <c r="N514">
        <f>DATEDIF(D514, E514, "d")</f>
        <v>3</v>
      </c>
      <c r="O514">
        <f>ROUND(Table1[[#This Row],[Unit Price]]*Table1[[#This Row],[Quantity]]*VLOOKUP(C514,Table2[#All],2,FALSE),0)</f>
        <v>3674</v>
      </c>
      <c r="P514">
        <f>ROUND(F514*G514,0)</f>
        <v>5248</v>
      </c>
      <c r="Q514">
        <f>ROUND((G514*F514)-O514,0)</f>
        <v>1574</v>
      </c>
    </row>
    <row r="515" spans="1:17">
      <c r="A515" t="s">
        <v>159</v>
      </c>
      <c r="B515" t="s">
        <v>30</v>
      </c>
      <c r="C515" t="s">
        <v>41</v>
      </c>
      <c r="D515" s="1">
        <v>45597</v>
      </c>
      <c r="E515" s="1">
        <v>45605</v>
      </c>
      <c r="F515">
        <v>1</v>
      </c>
      <c r="G515">
        <v>293</v>
      </c>
      <c r="H515" t="s">
        <v>13</v>
      </c>
      <c r="I515" t="s">
        <v>548</v>
      </c>
      <c r="J515" t="s">
        <v>28</v>
      </c>
      <c r="K515">
        <f>YEAR(D515)</f>
        <v>2024</v>
      </c>
      <c r="L515" t="str">
        <f>TEXT(D515,"mmm")</f>
        <v>Nov</v>
      </c>
      <c r="M515" t="str">
        <f>TEXT(D515,"ddd")</f>
        <v>Fri</v>
      </c>
      <c r="N515">
        <f>DATEDIF(D515, E515, "d")</f>
        <v>8</v>
      </c>
      <c r="O515">
        <f>ROUND(Table1[[#This Row],[Unit Price]]*Table1[[#This Row],[Quantity]]*VLOOKUP(C515,Table2[#All],2,FALSE),0)</f>
        <v>190</v>
      </c>
      <c r="P515">
        <f>ROUND(F515*G515,0)</f>
        <v>293</v>
      </c>
      <c r="Q515">
        <f>ROUND((G515*F515)-O515,0)</f>
        <v>103</v>
      </c>
    </row>
    <row r="516" spans="1:17">
      <c r="A516" t="s">
        <v>268</v>
      </c>
      <c r="B516" t="s">
        <v>11</v>
      </c>
      <c r="C516" t="s">
        <v>26</v>
      </c>
      <c r="D516" s="1">
        <v>45416</v>
      </c>
      <c r="E516" s="1">
        <v>45429</v>
      </c>
      <c r="F516">
        <v>10</v>
      </c>
      <c r="G516">
        <v>730</v>
      </c>
      <c r="H516" t="s">
        <v>13</v>
      </c>
      <c r="I516" t="s">
        <v>550</v>
      </c>
      <c r="J516" t="s">
        <v>14</v>
      </c>
      <c r="K516">
        <f>YEAR(D516)</f>
        <v>2024</v>
      </c>
      <c r="L516" t="str">
        <f>TEXT(D516,"mmm")</f>
        <v>May</v>
      </c>
      <c r="M516" t="str">
        <f>TEXT(D516,"ddd")</f>
        <v>Sat</v>
      </c>
      <c r="N516">
        <f>DATEDIF(D516, E516, "d")</f>
        <v>13</v>
      </c>
      <c r="O516">
        <f>ROUND(Table1[[#This Row],[Unit Price]]*Table1[[#This Row],[Quantity]]*VLOOKUP(C516,Table2[#All],2,FALSE),0)</f>
        <v>4745</v>
      </c>
      <c r="P516">
        <f>ROUND(F516*G516,0)</f>
        <v>7300</v>
      </c>
      <c r="Q516">
        <f>ROUND((G516*F516)-O516,0)</f>
        <v>2555</v>
      </c>
    </row>
    <row r="517" spans="1:17">
      <c r="A517" t="s">
        <v>257</v>
      </c>
      <c r="B517" t="s">
        <v>30</v>
      </c>
      <c r="C517" t="s">
        <v>75</v>
      </c>
      <c r="D517" s="1">
        <v>45383</v>
      </c>
      <c r="E517" s="1">
        <v>45394</v>
      </c>
      <c r="F517">
        <v>9</v>
      </c>
      <c r="G517">
        <v>412</v>
      </c>
      <c r="H517" t="s">
        <v>27</v>
      </c>
      <c r="I517" t="s">
        <v>32</v>
      </c>
      <c r="J517" t="s">
        <v>18</v>
      </c>
      <c r="K517">
        <f>YEAR(D517)</f>
        <v>2024</v>
      </c>
      <c r="L517" t="str">
        <f>TEXT(D517,"mmm")</f>
        <v>Apr</v>
      </c>
      <c r="M517" t="str">
        <f>TEXT(D517,"ddd")</f>
        <v>Mon</v>
      </c>
      <c r="N517">
        <f>DATEDIF(D517, E517, "d")</f>
        <v>11</v>
      </c>
      <c r="O517">
        <f>ROUND(Table1[[#This Row],[Unit Price]]*Table1[[#This Row],[Quantity]]*VLOOKUP(C517,Table2[#All],2,FALSE),0)</f>
        <v>2781</v>
      </c>
      <c r="P517">
        <f>ROUND(F517*G517,0)</f>
        <v>3708</v>
      </c>
      <c r="Q517">
        <f>ROUND((G517*F517)-O517,0)</f>
        <v>927</v>
      </c>
    </row>
    <row r="518" spans="1:17">
      <c r="A518" t="s">
        <v>251</v>
      </c>
      <c r="B518" t="s">
        <v>16</v>
      </c>
      <c r="C518" t="s">
        <v>43</v>
      </c>
      <c r="D518" s="1">
        <v>45567</v>
      </c>
      <c r="E518" s="1">
        <v>45574</v>
      </c>
      <c r="F518">
        <v>4</v>
      </c>
      <c r="G518">
        <v>790</v>
      </c>
      <c r="H518" t="s">
        <v>13</v>
      </c>
      <c r="I518" t="s">
        <v>550</v>
      </c>
      <c r="J518" t="s">
        <v>18</v>
      </c>
      <c r="K518">
        <f>YEAR(D518)</f>
        <v>2024</v>
      </c>
      <c r="L518" t="str">
        <f>TEXT(D518,"mmm")</f>
        <v>Oct</v>
      </c>
      <c r="M518" t="str">
        <f>TEXT(D518,"ddd")</f>
        <v>Wed</v>
      </c>
      <c r="N518">
        <f>DATEDIF(D518, E518, "d")</f>
        <v>7</v>
      </c>
      <c r="O518">
        <f>ROUND(Table1[[#This Row],[Unit Price]]*Table1[[#This Row],[Quantity]]*VLOOKUP(C518,Table2[#All],2,FALSE),0)</f>
        <v>1896</v>
      </c>
      <c r="P518">
        <f>ROUND(F518*G518,0)</f>
        <v>3160</v>
      </c>
      <c r="Q518">
        <f>ROUND((G518*F518)-O518,0)</f>
        <v>1264</v>
      </c>
    </row>
    <row r="519" spans="1:17">
      <c r="A519" t="s">
        <v>181</v>
      </c>
      <c r="B519" t="s">
        <v>30</v>
      </c>
      <c r="C519" t="s">
        <v>41</v>
      </c>
      <c r="D519" s="1">
        <v>45462</v>
      </c>
      <c r="E519" s="1">
        <v>45469</v>
      </c>
      <c r="F519">
        <v>3</v>
      </c>
      <c r="G519">
        <v>88</v>
      </c>
      <c r="H519" t="s">
        <v>27</v>
      </c>
      <c r="I519" t="s">
        <v>32</v>
      </c>
      <c r="J519" t="s">
        <v>14</v>
      </c>
      <c r="K519">
        <f>YEAR(D519)</f>
        <v>2024</v>
      </c>
      <c r="L519" t="str">
        <f>TEXT(D519,"mmm")</f>
        <v>Jun</v>
      </c>
      <c r="M519" t="str">
        <f>TEXT(D519,"ddd")</f>
        <v>Wed</v>
      </c>
      <c r="N519">
        <f>DATEDIF(D519, E519, "d")</f>
        <v>7</v>
      </c>
      <c r="O519">
        <f>ROUND(Table1[[#This Row],[Unit Price]]*Table1[[#This Row],[Quantity]]*VLOOKUP(C519,Table2[#All],2,FALSE),0)</f>
        <v>172</v>
      </c>
      <c r="P519">
        <f>ROUND(F519*G519,0)</f>
        <v>264</v>
      </c>
      <c r="Q519">
        <f>ROUND((G519*F519)-O519,0)</f>
        <v>92</v>
      </c>
    </row>
    <row r="520" spans="1:17">
      <c r="A520" t="s">
        <v>221</v>
      </c>
      <c r="B520" t="s">
        <v>16</v>
      </c>
      <c r="C520" t="s">
        <v>63</v>
      </c>
      <c r="D520" s="1">
        <v>45379</v>
      </c>
      <c r="E520" s="1">
        <v>45390</v>
      </c>
      <c r="F520">
        <v>10</v>
      </c>
      <c r="G520">
        <v>747</v>
      </c>
      <c r="H520" t="s">
        <v>27</v>
      </c>
      <c r="I520" t="s">
        <v>32</v>
      </c>
      <c r="J520" t="s">
        <v>28</v>
      </c>
      <c r="K520">
        <f>YEAR(D520)</f>
        <v>2024</v>
      </c>
      <c r="L520" t="str">
        <f>TEXT(D520,"mmm")</f>
        <v>Mar</v>
      </c>
      <c r="M520" t="str">
        <f>TEXT(D520,"ddd")</f>
        <v>Thu</v>
      </c>
      <c r="N520">
        <f>DATEDIF(D520, E520, "d")</f>
        <v>11</v>
      </c>
      <c r="O520">
        <f>ROUND(Table1[[#This Row],[Unit Price]]*Table1[[#This Row],[Quantity]]*VLOOKUP(C520,Table2[#All],2,FALSE),0)</f>
        <v>3735</v>
      </c>
      <c r="P520">
        <f>ROUND(F520*G520,0)</f>
        <v>7470</v>
      </c>
      <c r="Q520">
        <f>ROUND((G520*F520)-O520,0)</f>
        <v>3735</v>
      </c>
    </row>
    <row r="521" spans="1:17">
      <c r="A521" t="s">
        <v>386</v>
      </c>
      <c r="B521" t="s">
        <v>20</v>
      </c>
      <c r="C521" t="s">
        <v>82</v>
      </c>
      <c r="D521" s="1">
        <v>45710</v>
      </c>
      <c r="E521" s="1">
        <v>45712</v>
      </c>
      <c r="F521">
        <v>8</v>
      </c>
      <c r="G521">
        <v>405</v>
      </c>
      <c r="H521" t="s">
        <v>13</v>
      </c>
      <c r="I521" t="s">
        <v>546</v>
      </c>
      <c r="J521" t="s">
        <v>18</v>
      </c>
      <c r="K521">
        <f>YEAR(D521)</f>
        <v>2025</v>
      </c>
      <c r="L521" t="str">
        <f>TEXT(D521,"mmm")</f>
        <v>Feb</v>
      </c>
      <c r="M521" t="str">
        <f>TEXT(D521,"ddd")</f>
        <v>Sat</v>
      </c>
      <c r="N521">
        <f>DATEDIF(D521, E521, "d")</f>
        <v>2</v>
      </c>
      <c r="O521">
        <f>ROUND(Table1[[#This Row],[Unit Price]]*Table1[[#This Row],[Quantity]]*VLOOKUP(C521,Table2[#All],2,FALSE),0)</f>
        <v>2592</v>
      </c>
      <c r="P521">
        <f>ROUND(F521*G521,0)</f>
        <v>3240</v>
      </c>
      <c r="Q521">
        <f>ROUND((G521*F521)-O521,0)</f>
        <v>648</v>
      </c>
    </row>
    <row r="522" spans="1:17">
      <c r="A522" t="s">
        <v>435</v>
      </c>
      <c r="B522" t="s">
        <v>30</v>
      </c>
      <c r="C522" t="s">
        <v>75</v>
      </c>
      <c r="D522" s="1">
        <v>45881</v>
      </c>
      <c r="E522" s="1">
        <v>45882</v>
      </c>
      <c r="F522">
        <v>8</v>
      </c>
      <c r="G522">
        <v>177</v>
      </c>
      <c r="H522" t="s">
        <v>13</v>
      </c>
      <c r="I522" t="s">
        <v>550</v>
      </c>
      <c r="J522" t="s">
        <v>14</v>
      </c>
      <c r="K522">
        <f>YEAR(D522)</f>
        <v>2025</v>
      </c>
      <c r="L522" t="str">
        <f>TEXT(D522,"mmm")</f>
        <v>Aug</v>
      </c>
      <c r="M522" t="str">
        <f>TEXT(D522,"ddd")</f>
        <v>Tue</v>
      </c>
      <c r="N522">
        <f>DATEDIF(D522, E522, "d")</f>
        <v>1</v>
      </c>
      <c r="O522">
        <f>ROUND(Table1[[#This Row],[Unit Price]]*Table1[[#This Row],[Quantity]]*VLOOKUP(C522,Table2[#All],2,FALSE),0)</f>
        <v>1062</v>
      </c>
      <c r="P522">
        <f>ROUND(F522*G522,0)</f>
        <v>1416</v>
      </c>
      <c r="Q522">
        <f>ROUND((G522*F522)-O522,0)</f>
        <v>354</v>
      </c>
    </row>
    <row r="523" spans="1:17">
      <c r="A523" t="s">
        <v>374</v>
      </c>
      <c r="B523" t="s">
        <v>16</v>
      </c>
      <c r="C523" t="s">
        <v>55</v>
      </c>
      <c r="D523" s="1">
        <v>45760</v>
      </c>
      <c r="E523" s="1">
        <v>45764</v>
      </c>
      <c r="F523">
        <v>1</v>
      </c>
      <c r="G523">
        <v>62</v>
      </c>
      <c r="H523" t="s">
        <v>27</v>
      </c>
      <c r="I523" t="s">
        <v>32</v>
      </c>
      <c r="J523" t="s">
        <v>14</v>
      </c>
      <c r="K523">
        <f>YEAR(D523)</f>
        <v>2025</v>
      </c>
      <c r="L523" t="str">
        <f>TEXT(D523,"mmm")</f>
        <v>Apr</v>
      </c>
      <c r="M523" t="str">
        <f>TEXT(D523,"ddd")</f>
        <v>Sun</v>
      </c>
      <c r="N523">
        <f>DATEDIF(D523, E523, "d")</f>
        <v>4</v>
      </c>
      <c r="O523">
        <f>ROUND(Table1[[#This Row],[Unit Price]]*Table1[[#This Row],[Quantity]]*VLOOKUP(C523,Table2[#All],2,FALSE),0)</f>
        <v>34</v>
      </c>
      <c r="P523">
        <f>ROUND(F523*G523,0)</f>
        <v>62</v>
      </c>
      <c r="Q523">
        <f>ROUND((G523*F523)-O523,0)</f>
        <v>28</v>
      </c>
    </row>
    <row r="524" spans="1:17">
      <c r="A524" t="s">
        <v>198</v>
      </c>
      <c r="B524" t="s">
        <v>30</v>
      </c>
      <c r="C524" t="s">
        <v>75</v>
      </c>
      <c r="D524" s="1">
        <v>45620</v>
      </c>
      <c r="E524" s="1">
        <v>45628</v>
      </c>
      <c r="F524">
        <v>8</v>
      </c>
      <c r="G524">
        <v>905</v>
      </c>
      <c r="H524" t="s">
        <v>13</v>
      </c>
      <c r="I524" t="s">
        <v>546</v>
      </c>
      <c r="J524" t="s">
        <v>45</v>
      </c>
      <c r="K524">
        <f>YEAR(D524)</f>
        <v>2024</v>
      </c>
      <c r="L524" t="str">
        <f>TEXT(D524,"mmm")</f>
        <v>Nov</v>
      </c>
      <c r="M524" t="str">
        <f>TEXT(D524,"ddd")</f>
        <v>Sun</v>
      </c>
      <c r="N524">
        <f>DATEDIF(D524, E524, "d")</f>
        <v>8</v>
      </c>
      <c r="O524">
        <f>ROUND(Table1[[#This Row],[Unit Price]]*Table1[[#This Row],[Quantity]]*VLOOKUP(C524,Table2[#All],2,FALSE),0)</f>
        <v>5430</v>
      </c>
      <c r="P524">
        <f>ROUND(F524*G524,0)</f>
        <v>7240</v>
      </c>
      <c r="Q524">
        <f>ROUND((G524*F524)-O524,0)</f>
        <v>1810</v>
      </c>
    </row>
    <row r="525" spans="1:17">
      <c r="A525" t="s">
        <v>52</v>
      </c>
      <c r="B525" t="s">
        <v>20</v>
      </c>
      <c r="C525" t="s">
        <v>53</v>
      </c>
      <c r="D525" s="1">
        <v>45483</v>
      </c>
      <c r="E525" s="1">
        <v>45492</v>
      </c>
      <c r="F525">
        <v>3</v>
      </c>
      <c r="G525">
        <v>562</v>
      </c>
      <c r="H525" t="s">
        <v>13</v>
      </c>
      <c r="I525" t="s">
        <v>548</v>
      </c>
      <c r="J525" t="s">
        <v>45</v>
      </c>
      <c r="K525">
        <f>YEAR(D525)</f>
        <v>2024</v>
      </c>
      <c r="L525" t="str">
        <f>TEXT(D525,"mmm")</f>
        <v>Jul</v>
      </c>
      <c r="M525" t="str">
        <f>TEXT(D525,"ddd")</f>
        <v>Wed</v>
      </c>
      <c r="N525">
        <f>DATEDIF(D525, E525, "d")</f>
        <v>9</v>
      </c>
      <c r="O525">
        <f>ROUND(Table1[[#This Row],[Unit Price]]*Table1[[#This Row],[Quantity]]*VLOOKUP(C525,Table2[#All],2,FALSE),0)</f>
        <v>1180</v>
      </c>
      <c r="P525">
        <f>ROUND(F525*G525,0)</f>
        <v>1686</v>
      </c>
      <c r="Q525">
        <f>ROUND((G525*F525)-O525,0)</f>
        <v>506</v>
      </c>
    </row>
    <row r="526" spans="1:17">
      <c r="A526" t="s">
        <v>52</v>
      </c>
      <c r="B526" t="s">
        <v>16</v>
      </c>
      <c r="C526" t="s">
        <v>43</v>
      </c>
      <c r="D526" s="1">
        <v>45956</v>
      </c>
      <c r="E526" s="1">
        <v>45962</v>
      </c>
      <c r="F526">
        <v>6</v>
      </c>
      <c r="G526">
        <v>894</v>
      </c>
      <c r="H526" t="s">
        <v>27</v>
      </c>
      <c r="I526" t="s">
        <v>32</v>
      </c>
      <c r="J526" t="s">
        <v>14</v>
      </c>
      <c r="K526">
        <f>YEAR(D526)</f>
        <v>2025</v>
      </c>
      <c r="L526" t="str">
        <f>TEXT(D526,"mmm")</f>
        <v>Oct</v>
      </c>
      <c r="M526" t="str">
        <f>TEXT(D526,"ddd")</f>
        <v>Sun</v>
      </c>
      <c r="N526">
        <f>DATEDIF(D526, E526, "d")</f>
        <v>6</v>
      </c>
      <c r="O526">
        <f>ROUND(Table1[[#This Row],[Unit Price]]*Table1[[#This Row],[Quantity]]*VLOOKUP(C526,Table2[#All],2,FALSE),0)</f>
        <v>3218</v>
      </c>
      <c r="P526">
        <f>ROUND(F526*G526,0)</f>
        <v>5364</v>
      </c>
      <c r="Q526">
        <f>ROUND((G526*F526)-O526,0)</f>
        <v>2146</v>
      </c>
    </row>
    <row r="527" spans="1:17">
      <c r="A527" t="s">
        <v>502</v>
      </c>
      <c r="B527" t="s">
        <v>16</v>
      </c>
      <c r="C527" t="s">
        <v>43</v>
      </c>
      <c r="D527" s="1">
        <v>45779</v>
      </c>
      <c r="E527" s="1">
        <v>45789</v>
      </c>
      <c r="F527">
        <v>4</v>
      </c>
      <c r="G527">
        <v>872</v>
      </c>
      <c r="H527" t="s">
        <v>13</v>
      </c>
      <c r="I527" t="s">
        <v>549</v>
      </c>
      <c r="J527" t="s">
        <v>28</v>
      </c>
      <c r="K527">
        <f>YEAR(D527)</f>
        <v>2025</v>
      </c>
      <c r="L527" t="str">
        <f>TEXT(D527,"mmm")</f>
        <v>May</v>
      </c>
      <c r="M527" t="str">
        <f>TEXT(D527,"ddd")</f>
        <v>Fri</v>
      </c>
      <c r="N527">
        <f>DATEDIF(D527, E527, "d")</f>
        <v>10</v>
      </c>
      <c r="O527">
        <f>ROUND(Table1[[#This Row],[Unit Price]]*Table1[[#This Row],[Quantity]]*VLOOKUP(C527,Table2[#All],2,FALSE),0)</f>
        <v>2093</v>
      </c>
      <c r="P527">
        <f>ROUND(F527*G527,0)</f>
        <v>3488</v>
      </c>
      <c r="Q527">
        <f>ROUND((G527*F527)-O527,0)</f>
        <v>1395</v>
      </c>
    </row>
    <row r="528" spans="1:17">
      <c r="A528" t="s">
        <v>40</v>
      </c>
      <c r="B528" t="s">
        <v>30</v>
      </c>
      <c r="C528" t="s">
        <v>41</v>
      </c>
      <c r="D528" s="1">
        <v>45627</v>
      </c>
      <c r="E528" s="1">
        <v>45636</v>
      </c>
      <c r="F528">
        <v>8</v>
      </c>
      <c r="G528">
        <v>415</v>
      </c>
      <c r="H528" t="s">
        <v>13</v>
      </c>
      <c r="I528" t="s">
        <v>32</v>
      </c>
      <c r="J528" t="s">
        <v>28</v>
      </c>
      <c r="K528">
        <f>YEAR(D528)</f>
        <v>2024</v>
      </c>
      <c r="L528" t="str">
        <f>TEXT(D528,"mmm")</f>
        <v>Dec</v>
      </c>
      <c r="M528" t="str">
        <f>TEXT(D528,"ddd")</f>
        <v>Sun</v>
      </c>
      <c r="N528">
        <f>DATEDIF(D528, E528, "d")</f>
        <v>9</v>
      </c>
      <c r="O528">
        <f>ROUND(Table1[[#This Row],[Unit Price]]*Table1[[#This Row],[Quantity]]*VLOOKUP(C528,Table2[#All],2,FALSE),0)</f>
        <v>2158</v>
      </c>
      <c r="P528">
        <f>ROUND(F528*G528,0)</f>
        <v>3320</v>
      </c>
      <c r="Q528">
        <f>ROUND((G528*F528)-O528,0)</f>
        <v>1162</v>
      </c>
    </row>
    <row r="529" spans="1:17">
      <c r="A529" t="s">
        <v>40</v>
      </c>
      <c r="B529" t="s">
        <v>23</v>
      </c>
      <c r="C529" t="s">
        <v>24</v>
      </c>
      <c r="D529" s="1">
        <v>45988</v>
      </c>
      <c r="E529" s="1">
        <v>45994</v>
      </c>
      <c r="F529">
        <v>7</v>
      </c>
      <c r="G529">
        <v>444</v>
      </c>
      <c r="H529" t="s">
        <v>27</v>
      </c>
      <c r="I529" t="s">
        <v>548</v>
      </c>
      <c r="J529" t="s">
        <v>45</v>
      </c>
      <c r="K529">
        <f>YEAR(D529)</f>
        <v>2025</v>
      </c>
      <c r="L529" t="str">
        <f>TEXT(D529,"mmm")</f>
        <v>Nov</v>
      </c>
      <c r="M529" t="str">
        <f>TEXT(D529,"ddd")</f>
        <v>Thu</v>
      </c>
      <c r="N529">
        <f>DATEDIF(D529, E529, "d")</f>
        <v>6</v>
      </c>
      <c r="O529">
        <f>ROUND(Table1[[#This Row],[Unit Price]]*Table1[[#This Row],[Quantity]]*VLOOKUP(C529,Table2[#All],2,FALSE),0)</f>
        <v>1709</v>
      </c>
      <c r="P529">
        <f>ROUND(F529*G529,0)</f>
        <v>3108</v>
      </c>
      <c r="Q529">
        <f>ROUND((G529*F529)-O529,0)</f>
        <v>1399</v>
      </c>
    </row>
    <row r="530" spans="1:17">
      <c r="A530" t="s">
        <v>384</v>
      </c>
      <c r="B530" t="s">
        <v>16</v>
      </c>
      <c r="C530" t="s">
        <v>63</v>
      </c>
      <c r="D530" s="1">
        <v>45834</v>
      </c>
      <c r="E530" s="1">
        <v>45842</v>
      </c>
      <c r="F530">
        <v>7</v>
      </c>
      <c r="G530">
        <v>569</v>
      </c>
      <c r="H530" t="s">
        <v>13</v>
      </c>
      <c r="I530" t="s">
        <v>549</v>
      </c>
      <c r="J530" t="s">
        <v>45</v>
      </c>
      <c r="K530">
        <f>YEAR(D530)</f>
        <v>2025</v>
      </c>
      <c r="L530" t="str">
        <f>TEXT(D530,"mmm")</f>
        <v>Jun</v>
      </c>
      <c r="M530" t="str">
        <f>TEXT(D530,"ddd")</f>
        <v>Thu</v>
      </c>
      <c r="N530">
        <f>DATEDIF(D530, E530, "d")</f>
        <v>8</v>
      </c>
      <c r="O530">
        <f>ROUND(Table1[[#This Row],[Unit Price]]*Table1[[#This Row],[Quantity]]*VLOOKUP(C530,Table2[#All],2,FALSE),0)</f>
        <v>1992</v>
      </c>
      <c r="P530">
        <f>ROUND(F530*G530,0)</f>
        <v>3983</v>
      </c>
      <c r="Q530">
        <f>ROUND((G530*F530)-O530,0)</f>
        <v>1991</v>
      </c>
    </row>
    <row r="531" spans="1:17">
      <c r="A531" t="s">
        <v>438</v>
      </c>
      <c r="B531" t="s">
        <v>11</v>
      </c>
      <c r="C531" t="s">
        <v>26</v>
      </c>
      <c r="D531" s="1">
        <v>45924</v>
      </c>
      <c r="E531" s="1">
        <v>45931</v>
      </c>
      <c r="F531">
        <v>3</v>
      </c>
      <c r="G531">
        <v>565</v>
      </c>
      <c r="H531" t="s">
        <v>13</v>
      </c>
      <c r="I531" t="s">
        <v>32</v>
      </c>
      <c r="J531" t="s">
        <v>14</v>
      </c>
      <c r="K531">
        <f>YEAR(D531)</f>
        <v>2025</v>
      </c>
      <c r="L531" t="str">
        <f>TEXT(D531,"mmm")</f>
        <v>Sep</v>
      </c>
      <c r="M531" t="str">
        <f>TEXT(D531,"ddd")</f>
        <v>Wed</v>
      </c>
      <c r="N531">
        <f>DATEDIF(D531, E531, "d")</f>
        <v>7</v>
      </c>
      <c r="O531">
        <f>ROUND(Table1[[#This Row],[Unit Price]]*Table1[[#This Row],[Quantity]]*VLOOKUP(C531,Table2[#All],2,FALSE),0)</f>
        <v>1102</v>
      </c>
      <c r="P531">
        <f>ROUND(F531*G531,0)</f>
        <v>1695</v>
      </c>
      <c r="Q531">
        <f>ROUND((G531*F531)-O531,0)</f>
        <v>593</v>
      </c>
    </row>
    <row r="532" spans="1:17">
      <c r="A532" t="s">
        <v>104</v>
      </c>
      <c r="B532" t="s">
        <v>20</v>
      </c>
      <c r="C532" t="s">
        <v>82</v>
      </c>
      <c r="D532" s="1">
        <v>45515</v>
      </c>
      <c r="E532" s="1">
        <v>45529</v>
      </c>
      <c r="F532">
        <v>8</v>
      </c>
      <c r="G532">
        <v>39</v>
      </c>
      <c r="H532" t="s">
        <v>27</v>
      </c>
      <c r="I532" t="s">
        <v>549</v>
      </c>
      <c r="J532" t="s">
        <v>18</v>
      </c>
      <c r="K532">
        <f>YEAR(D532)</f>
        <v>2024</v>
      </c>
      <c r="L532" t="str">
        <f>TEXT(D532,"mmm")</f>
        <v>Aug</v>
      </c>
      <c r="M532" t="str">
        <f>TEXT(D532,"ddd")</f>
        <v>Sun</v>
      </c>
      <c r="N532">
        <f>DATEDIF(D532, E532, "d")</f>
        <v>14</v>
      </c>
      <c r="O532">
        <f>ROUND(Table1[[#This Row],[Unit Price]]*Table1[[#This Row],[Quantity]]*VLOOKUP(C532,Table2[#All],2,FALSE),0)</f>
        <v>250</v>
      </c>
      <c r="P532">
        <f>ROUND(F532*G532,0)</f>
        <v>312</v>
      </c>
      <c r="Q532">
        <f>ROUND((G532*F532)-O532,0)</f>
        <v>62</v>
      </c>
    </row>
    <row r="533" spans="1:17">
      <c r="A533" t="s">
        <v>104</v>
      </c>
      <c r="B533" t="s">
        <v>11</v>
      </c>
      <c r="C533" t="s">
        <v>12</v>
      </c>
      <c r="D533" s="1">
        <v>45896</v>
      </c>
      <c r="E533" s="1">
        <v>45897</v>
      </c>
      <c r="F533">
        <v>10</v>
      </c>
      <c r="G533">
        <v>541</v>
      </c>
      <c r="H533" t="s">
        <v>13</v>
      </c>
      <c r="I533" t="s">
        <v>548</v>
      </c>
      <c r="J533" t="s">
        <v>14</v>
      </c>
      <c r="K533">
        <f>YEAR(D533)</f>
        <v>2025</v>
      </c>
      <c r="L533" t="str">
        <f>TEXT(D533,"mmm")</f>
        <v>Aug</v>
      </c>
      <c r="M533" t="str">
        <f>TEXT(D533,"ddd")</f>
        <v>Wed</v>
      </c>
      <c r="N533">
        <f>DATEDIF(D533, E533, "d")</f>
        <v>1</v>
      </c>
      <c r="O533">
        <f>ROUND(Table1[[#This Row],[Unit Price]]*Table1[[#This Row],[Quantity]]*VLOOKUP(C533,Table2[#All],2,FALSE),0)</f>
        <v>4058</v>
      </c>
      <c r="P533">
        <f>ROUND(F533*G533,0)</f>
        <v>5410</v>
      </c>
      <c r="Q533">
        <f>ROUND((G533*F533)-O533,0)</f>
        <v>1352</v>
      </c>
    </row>
    <row r="534" spans="1:17">
      <c r="A534" t="s">
        <v>356</v>
      </c>
      <c r="B534" t="s">
        <v>11</v>
      </c>
      <c r="C534" t="s">
        <v>12</v>
      </c>
      <c r="D534" s="1">
        <v>45882</v>
      </c>
      <c r="E534" s="1">
        <v>45887</v>
      </c>
      <c r="F534">
        <v>7</v>
      </c>
      <c r="G534">
        <v>501</v>
      </c>
      <c r="H534" t="s">
        <v>27</v>
      </c>
      <c r="I534" t="s">
        <v>549</v>
      </c>
      <c r="J534" t="s">
        <v>45</v>
      </c>
      <c r="K534">
        <f>YEAR(D534)</f>
        <v>2025</v>
      </c>
      <c r="L534" t="str">
        <f>TEXT(D534,"mmm")</f>
        <v>Aug</v>
      </c>
      <c r="M534" t="str">
        <f>TEXT(D534,"ddd")</f>
        <v>Wed</v>
      </c>
      <c r="N534">
        <f>DATEDIF(D534, E534, "d")</f>
        <v>5</v>
      </c>
      <c r="O534">
        <f>ROUND(Table1[[#This Row],[Unit Price]]*Table1[[#This Row],[Quantity]]*VLOOKUP(C534,Table2[#All],2,FALSE),0)</f>
        <v>2630</v>
      </c>
      <c r="P534">
        <f>ROUND(F534*G534,0)</f>
        <v>3507</v>
      </c>
      <c r="Q534">
        <f>ROUND((G534*F534)-O534,0)</f>
        <v>877</v>
      </c>
    </row>
    <row r="535" spans="1:17">
      <c r="A535" t="s">
        <v>532</v>
      </c>
      <c r="B535" t="s">
        <v>11</v>
      </c>
      <c r="C535" t="s">
        <v>35</v>
      </c>
      <c r="D535" s="1">
        <v>45763</v>
      </c>
      <c r="E535" s="1">
        <v>45767</v>
      </c>
      <c r="F535">
        <v>4</v>
      </c>
      <c r="G535">
        <v>152</v>
      </c>
      <c r="H535" t="s">
        <v>27</v>
      </c>
      <c r="I535" t="s">
        <v>549</v>
      </c>
      <c r="J535" t="s">
        <v>45</v>
      </c>
      <c r="K535">
        <f>YEAR(D535)</f>
        <v>2025</v>
      </c>
      <c r="L535" t="str">
        <f>TEXT(D535,"mmm")</f>
        <v>Apr</v>
      </c>
      <c r="M535" t="str">
        <f>TEXT(D535,"ddd")</f>
        <v>Wed</v>
      </c>
      <c r="N535">
        <f>DATEDIF(D535, E535, "d")</f>
        <v>4</v>
      </c>
      <c r="O535">
        <f>ROUND(Table1[[#This Row],[Unit Price]]*Table1[[#This Row],[Quantity]]*VLOOKUP(C535,Table2[#All],2,FALSE),0)</f>
        <v>486</v>
      </c>
      <c r="P535">
        <f>ROUND(F535*G535,0)</f>
        <v>608</v>
      </c>
      <c r="Q535">
        <f>ROUND((G535*F535)-O535,0)</f>
        <v>122</v>
      </c>
    </row>
    <row r="536" spans="1:17">
      <c r="A536" t="s">
        <v>120</v>
      </c>
      <c r="B536" t="s">
        <v>11</v>
      </c>
      <c r="C536" t="s">
        <v>57</v>
      </c>
      <c r="D536" s="1">
        <v>45443</v>
      </c>
      <c r="E536" s="1">
        <v>45457</v>
      </c>
      <c r="F536">
        <v>4</v>
      </c>
      <c r="G536">
        <v>379</v>
      </c>
      <c r="H536" t="s">
        <v>13</v>
      </c>
      <c r="I536" t="s">
        <v>550</v>
      </c>
      <c r="J536" t="s">
        <v>28</v>
      </c>
      <c r="K536">
        <f>YEAR(D536)</f>
        <v>2024</v>
      </c>
      <c r="L536" t="str">
        <f>TEXT(D536,"mmm")</f>
        <v>May</v>
      </c>
      <c r="M536" t="str">
        <f>TEXT(D536,"ddd")</f>
        <v>Fri</v>
      </c>
      <c r="N536">
        <f>DATEDIF(D536, E536, "d")</f>
        <v>14</v>
      </c>
      <c r="O536">
        <f>ROUND(Table1[[#This Row],[Unit Price]]*Table1[[#This Row],[Quantity]]*VLOOKUP(C536,Table2[#All],2,FALSE),0)</f>
        <v>1289</v>
      </c>
      <c r="P536">
        <f>ROUND(F536*G536,0)</f>
        <v>1516</v>
      </c>
      <c r="Q536">
        <f>ROUND((G536*F536)-O536,0)</f>
        <v>227</v>
      </c>
    </row>
    <row r="537" spans="1:17">
      <c r="A537" t="s">
        <v>661</v>
      </c>
      <c r="B537" t="s">
        <v>16</v>
      </c>
      <c r="C537" t="s">
        <v>43</v>
      </c>
      <c r="D537" s="1">
        <v>45363</v>
      </c>
      <c r="E537" s="1">
        <v>45369</v>
      </c>
      <c r="F537">
        <v>1</v>
      </c>
      <c r="G537">
        <v>30</v>
      </c>
      <c r="H537" t="s">
        <v>27</v>
      </c>
      <c r="I537" t="s">
        <v>546</v>
      </c>
      <c r="J537" t="s">
        <v>14</v>
      </c>
      <c r="K537">
        <f>YEAR(D537)</f>
        <v>2024</v>
      </c>
      <c r="L537" t="str">
        <f>TEXT(D537,"mmm")</f>
        <v>Mar</v>
      </c>
      <c r="M537" t="str">
        <f>TEXT(D537,"ddd")</f>
        <v>Tue</v>
      </c>
      <c r="N537">
        <f>DATEDIF(D537, E537, "d")</f>
        <v>6</v>
      </c>
      <c r="O537">
        <f>ROUND(Table1[[#This Row],[Unit Price]]*Table1[[#This Row],[Quantity]]*VLOOKUP(C537,Table2[#All],2,FALSE),0)</f>
        <v>18</v>
      </c>
      <c r="P537">
        <f>ROUND(F537*G537,0)</f>
        <v>30</v>
      </c>
      <c r="Q537">
        <f>ROUND((G537*F537)-O537,0)</f>
        <v>12</v>
      </c>
    </row>
    <row r="538" spans="1:17">
      <c r="A538" t="s">
        <v>543</v>
      </c>
      <c r="B538" t="s">
        <v>30</v>
      </c>
      <c r="C538" t="s">
        <v>41</v>
      </c>
      <c r="D538" s="1">
        <v>45666</v>
      </c>
      <c r="E538" s="1">
        <v>45678</v>
      </c>
      <c r="F538">
        <v>6</v>
      </c>
      <c r="G538">
        <v>323</v>
      </c>
      <c r="H538" t="s">
        <v>27</v>
      </c>
      <c r="I538" t="s">
        <v>546</v>
      </c>
      <c r="J538" t="s">
        <v>14</v>
      </c>
      <c r="K538">
        <f>YEAR(D538)</f>
        <v>2025</v>
      </c>
      <c r="L538" t="str">
        <f>TEXT(D538,"mmm")</f>
        <v>Jan</v>
      </c>
      <c r="M538" t="str">
        <f>TEXT(D538,"ddd")</f>
        <v>Thu</v>
      </c>
      <c r="N538">
        <f>DATEDIF(D538, E538, "d")</f>
        <v>12</v>
      </c>
      <c r="O538">
        <f>ROUND(Table1[[#This Row],[Unit Price]]*Table1[[#This Row],[Quantity]]*VLOOKUP(C538,Table2[#All],2,FALSE),0)</f>
        <v>1260</v>
      </c>
      <c r="P538">
        <f>ROUND(F538*G538,0)</f>
        <v>1938</v>
      </c>
      <c r="Q538">
        <f>ROUND((G538*F538)-O538,0)</f>
        <v>678</v>
      </c>
    </row>
    <row r="539" spans="1:17">
      <c r="A539" t="s">
        <v>135</v>
      </c>
      <c r="B539" t="s">
        <v>16</v>
      </c>
      <c r="C539" t="s">
        <v>17</v>
      </c>
      <c r="D539" s="1">
        <v>45628</v>
      </c>
      <c r="E539" s="1">
        <v>45641</v>
      </c>
      <c r="F539">
        <v>9</v>
      </c>
      <c r="G539">
        <v>483</v>
      </c>
      <c r="H539" t="s">
        <v>13</v>
      </c>
      <c r="I539" t="s">
        <v>549</v>
      </c>
      <c r="J539" t="s">
        <v>18</v>
      </c>
      <c r="K539">
        <f>YEAR(D539)</f>
        <v>2024</v>
      </c>
      <c r="L539" t="str">
        <f>TEXT(D539,"mmm")</f>
        <v>Dec</v>
      </c>
      <c r="M539" t="str">
        <f>TEXT(D539,"ddd")</f>
        <v>Mon</v>
      </c>
      <c r="N539">
        <f>DATEDIF(D539, E539, "d")</f>
        <v>13</v>
      </c>
      <c r="O539">
        <f>ROUND(Table1[[#This Row],[Unit Price]]*Table1[[#This Row],[Quantity]]*VLOOKUP(C539,Table2[#All],2,FALSE),0)</f>
        <v>2174</v>
      </c>
      <c r="P539">
        <f>ROUND(F539*G539,0)</f>
        <v>4347</v>
      </c>
      <c r="Q539">
        <f>ROUND((G539*F539)-O539,0)</f>
        <v>2173</v>
      </c>
    </row>
    <row r="540" spans="1:17">
      <c r="A540" t="s">
        <v>446</v>
      </c>
      <c r="B540" t="s">
        <v>30</v>
      </c>
      <c r="C540" t="s">
        <v>31</v>
      </c>
      <c r="D540" s="1">
        <v>45728</v>
      </c>
      <c r="E540" s="1">
        <v>45734</v>
      </c>
      <c r="F540">
        <v>7</v>
      </c>
      <c r="G540">
        <v>171</v>
      </c>
      <c r="H540" t="s">
        <v>27</v>
      </c>
      <c r="I540" t="s">
        <v>548</v>
      </c>
      <c r="J540" t="s">
        <v>14</v>
      </c>
      <c r="K540">
        <f>YEAR(D540)</f>
        <v>2025</v>
      </c>
      <c r="L540" t="str">
        <f>TEXT(D540,"mmm")</f>
        <v>Mar</v>
      </c>
      <c r="M540" t="str">
        <f>TEXT(D540,"ddd")</f>
        <v>Wed</v>
      </c>
      <c r="N540">
        <f>DATEDIF(D540, E540, "d")</f>
        <v>6</v>
      </c>
      <c r="O540">
        <f>ROUND(Table1[[#This Row],[Unit Price]]*Table1[[#This Row],[Quantity]]*VLOOKUP(C540,Table2[#All],2,FALSE),0)</f>
        <v>898</v>
      </c>
      <c r="P540">
        <f>ROUND(F540*G540,0)</f>
        <v>1197</v>
      </c>
      <c r="Q540">
        <f>ROUND((G540*F540)-O540,0)</f>
        <v>299</v>
      </c>
    </row>
    <row r="541" spans="1:17">
      <c r="A541" t="s">
        <v>255</v>
      </c>
      <c r="B541" t="s">
        <v>11</v>
      </c>
      <c r="C541" t="s">
        <v>26</v>
      </c>
      <c r="D541" s="1">
        <v>45422</v>
      </c>
      <c r="E541" s="1">
        <v>45425</v>
      </c>
      <c r="F541">
        <v>1</v>
      </c>
      <c r="G541">
        <v>773</v>
      </c>
      <c r="H541" t="s">
        <v>13</v>
      </c>
      <c r="I541" t="s">
        <v>550</v>
      </c>
      <c r="J541" t="s">
        <v>45</v>
      </c>
      <c r="K541">
        <f>YEAR(D541)</f>
        <v>2024</v>
      </c>
      <c r="L541" t="str">
        <f>TEXT(D541,"mmm")</f>
        <v>May</v>
      </c>
      <c r="M541" t="str">
        <f>TEXT(D541,"ddd")</f>
        <v>Fri</v>
      </c>
      <c r="N541">
        <f>DATEDIF(D541, E541, "d")</f>
        <v>3</v>
      </c>
      <c r="O541">
        <f>ROUND(Table1[[#This Row],[Unit Price]]*Table1[[#This Row],[Quantity]]*VLOOKUP(C541,Table2[#All],2,FALSE),0)</f>
        <v>502</v>
      </c>
      <c r="P541">
        <f>ROUND(F541*G541,0)</f>
        <v>773</v>
      </c>
      <c r="Q541">
        <f>ROUND((G541*F541)-O541,0)</f>
        <v>271</v>
      </c>
    </row>
    <row r="542" spans="1:17">
      <c r="A542" t="s">
        <v>336</v>
      </c>
      <c r="B542" t="s">
        <v>11</v>
      </c>
      <c r="C542" t="s">
        <v>57</v>
      </c>
      <c r="D542" s="1">
        <v>45552</v>
      </c>
      <c r="E542" s="1">
        <v>45555</v>
      </c>
      <c r="F542">
        <v>1</v>
      </c>
      <c r="G542">
        <v>55</v>
      </c>
      <c r="H542" t="s">
        <v>13</v>
      </c>
      <c r="I542" t="s">
        <v>548</v>
      </c>
      <c r="J542" t="s">
        <v>45</v>
      </c>
      <c r="K542">
        <f>YEAR(D542)</f>
        <v>2024</v>
      </c>
      <c r="L542" t="str">
        <f>TEXT(D542,"mmm")</f>
        <v>Sep</v>
      </c>
      <c r="M542" t="str">
        <f>TEXT(D542,"ddd")</f>
        <v>Tue</v>
      </c>
      <c r="N542">
        <f>DATEDIF(D542, E542, "d")</f>
        <v>3</v>
      </c>
      <c r="O542">
        <f>ROUND(Table1[[#This Row],[Unit Price]]*Table1[[#This Row],[Quantity]]*VLOOKUP(C542,Table2[#All],2,FALSE),0)</f>
        <v>47</v>
      </c>
      <c r="P542">
        <f>ROUND(F542*G542,0)</f>
        <v>55</v>
      </c>
      <c r="Q542">
        <f>ROUND((G542*F542)-O542,0)</f>
        <v>8</v>
      </c>
    </row>
    <row r="543" spans="1:17">
      <c r="A543" t="s">
        <v>454</v>
      </c>
      <c r="B543" t="s">
        <v>16</v>
      </c>
      <c r="C543" t="s">
        <v>55</v>
      </c>
      <c r="D543" s="1">
        <v>45970</v>
      </c>
      <c r="E543" s="1">
        <v>45981</v>
      </c>
      <c r="F543">
        <v>4</v>
      </c>
      <c r="G543">
        <v>180</v>
      </c>
      <c r="H543" t="s">
        <v>27</v>
      </c>
      <c r="I543" t="s">
        <v>548</v>
      </c>
      <c r="J543" t="s">
        <v>45</v>
      </c>
      <c r="K543">
        <f>YEAR(D543)</f>
        <v>2025</v>
      </c>
      <c r="L543" t="str">
        <f>TEXT(D543,"mmm")</f>
        <v>Nov</v>
      </c>
      <c r="M543" t="str">
        <f>TEXT(D543,"ddd")</f>
        <v>Sun</v>
      </c>
      <c r="N543">
        <f>DATEDIF(D543, E543, "d")</f>
        <v>11</v>
      </c>
      <c r="O543">
        <f>ROUND(Table1[[#This Row],[Unit Price]]*Table1[[#This Row],[Quantity]]*VLOOKUP(C543,Table2[#All],2,FALSE),0)</f>
        <v>396</v>
      </c>
      <c r="P543">
        <f>ROUND(F543*G543,0)</f>
        <v>720</v>
      </c>
      <c r="Q543">
        <f>ROUND((G543*F543)-O543,0)</f>
        <v>324</v>
      </c>
    </row>
    <row r="544" spans="1:17">
      <c r="A544" t="s">
        <v>427</v>
      </c>
      <c r="B544" t="s">
        <v>20</v>
      </c>
      <c r="C544" t="s">
        <v>53</v>
      </c>
      <c r="D544" s="1">
        <v>45695</v>
      </c>
      <c r="E544" s="1">
        <v>45706</v>
      </c>
      <c r="F544">
        <v>5</v>
      </c>
      <c r="G544">
        <v>215</v>
      </c>
      <c r="H544" t="s">
        <v>27</v>
      </c>
      <c r="I544" t="s">
        <v>32</v>
      </c>
      <c r="J544" t="s">
        <v>18</v>
      </c>
      <c r="K544">
        <f>YEAR(D544)</f>
        <v>2025</v>
      </c>
      <c r="L544" t="str">
        <f>TEXT(D544,"mmm")</f>
        <v>Feb</v>
      </c>
      <c r="M544" t="str">
        <f>TEXT(D544,"ddd")</f>
        <v>Fri</v>
      </c>
      <c r="N544">
        <f>DATEDIF(D544, E544, "d")</f>
        <v>11</v>
      </c>
      <c r="O544">
        <f>ROUND(Table1[[#This Row],[Unit Price]]*Table1[[#This Row],[Quantity]]*VLOOKUP(C544,Table2[#All],2,FALSE),0)</f>
        <v>753</v>
      </c>
      <c r="P544">
        <f>ROUND(F544*G544,0)</f>
        <v>1075</v>
      </c>
      <c r="Q544">
        <f>ROUND((G544*F544)-O544,0)</f>
        <v>322</v>
      </c>
    </row>
    <row r="545" spans="1:17">
      <c r="A545" t="s">
        <v>506</v>
      </c>
      <c r="B545" t="s">
        <v>30</v>
      </c>
      <c r="C545" t="s">
        <v>49</v>
      </c>
      <c r="D545" s="1">
        <v>45759</v>
      </c>
      <c r="E545" s="1">
        <v>45765</v>
      </c>
      <c r="F545">
        <v>5</v>
      </c>
      <c r="G545">
        <v>608</v>
      </c>
      <c r="H545" t="s">
        <v>27</v>
      </c>
      <c r="I545" t="s">
        <v>550</v>
      </c>
      <c r="J545" t="s">
        <v>45</v>
      </c>
      <c r="K545">
        <f>YEAR(D545)</f>
        <v>2025</v>
      </c>
      <c r="L545" t="str">
        <f>TEXT(D545,"mmm")</f>
        <v>Apr</v>
      </c>
      <c r="M545" t="str">
        <f>TEXT(D545,"ddd")</f>
        <v>Sat</v>
      </c>
      <c r="N545">
        <f>DATEDIF(D545, E545, "d")</f>
        <v>6</v>
      </c>
      <c r="O545">
        <f>ROUND(Table1[[#This Row],[Unit Price]]*Table1[[#This Row],[Quantity]]*VLOOKUP(C545,Table2[#All],2,FALSE),0)</f>
        <v>2128</v>
      </c>
      <c r="P545">
        <f>ROUND(F545*G545,0)</f>
        <v>3040</v>
      </c>
      <c r="Q545">
        <f>ROUND((G545*F545)-O545,0)</f>
        <v>912</v>
      </c>
    </row>
    <row r="546" spans="1:17">
      <c r="A546" t="s">
        <v>173</v>
      </c>
      <c r="B546" t="s">
        <v>20</v>
      </c>
      <c r="C546" t="s">
        <v>82</v>
      </c>
      <c r="D546" s="1">
        <v>45651</v>
      </c>
      <c r="E546" s="1">
        <v>45660</v>
      </c>
      <c r="F546">
        <v>5</v>
      </c>
      <c r="G546">
        <v>953</v>
      </c>
      <c r="H546" t="s">
        <v>13</v>
      </c>
      <c r="I546" t="s">
        <v>546</v>
      </c>
      <c r="J546" t="s">
        <v>14</v>
      </c>
      <c r="K546">
        <f>YEAR(D546)</f>
        <v>2024</v>
      </c>
      <c r="L546" t="str">
        <f>TEXT(D546,"mmm")</f>
        <v>Dec</v>
      </c>
      <c r="M546" t="str">
        <f>TEXT(D546,"ddd")</f>
        <v>Wed</v>
      </c>
      <c r="N546">
        <f>DATEDIF(D546, E546, "d")</f>
        <v>9</v>
      </c>
      <c r="O546">
        <f>ROUND(Table1[[#This Row],[Unit Price]]*Table1[[#This Row],[Quantity]]*VLOOKUP(C546,Table2[#All],2,FALSE),0)</f>
        <v>3812</v>
      </c>
      <c r="P546">
        <f>ROUND(F546*G546,0)</f>
        <v>4765</v>
      </c>
      <c r="Q546">
        <f>ROUND((G546*F546)-O546,0)</f>
        <v>953</v>
      </c>
    </row>
    <row r="547" spans="1:17">
      <c r="A547" t="s">
        <v>174</v>
      </c>
      <c r="B547" t="s">
        <v>20</v>
      </c>
      <c r="C547" t="s">
        <v>53</v>
      </c>
      <c r="D547" s="1">
        <v>45581</v>
      </c>
      <c r="E547" s="1">
        <v>45584</v>
      </c>
      <c r="F547">
        <v>7</v>
      </c>
      <c r="G547">
        <v>81</v>
      </c>
      <c r="H547" t="s">
        <v>13</v>
      </c>
      <c r="I547" t="s">
        <v>550</v>
      </c>
      <c r="J547" t="s">
        <v>18</v>
      </c>
      <c r="K547">
        <f>YEAR(D547)</f>
        <v>2024</v>
      </c>
      <c r="L547" t="str">
        <f>TEXT(D547,"mmm")</f>
        <v>Oct</v>
      </c>
      <c r="M547" t="str">
        <f>TEXT(D547,"ddd")</f>
        <v>Wed</v>
      </c>
      <c r="N547">
        <f>DATEDIF(D547, E547, "d")</f>
        <v>3</v>
      </c>
      <c r="O547">
        <f>ROUND(Table1[[#This Row],[Unit Price]]*Table1[[#This Row],[Quantity]]*VLOOKUP(C547,Table2[#All],2,FALSE),0)</f>
        <v>397</v>
      </c>
      <c r="P547">
        <f>ROUND(F547*G547,0)</f>
        <v>567</v>
      </c>
      <c r="Q547">
        <f>ROUND((G547*F547)-O547,0)</f>
        <v>170</v>
      </c>
    </row>
    <row r="548" spans="1:17">
      <c r="A548" t="s">
        <v>156</v>
      </c>
      <c r="B548" t="s">
        <v>30</v>
      </c>
      <c r="C548" t="s">
        <v>75</v>
      </c>
      <c r="D548" s="1">
        <v>45495</v>
      </c>
      <c r="E548" s="1">
        <v>45499</v>
      </c>
      <c r="F548">
        <v>5</v>
      </c>
      <c r="G548">
        <v>204</v>
      </c>
      <c r="H548" t="s">
        <v>13</v>
      </c>
      <c r="I548" t="s">
        <v>550</v>
      </c>
      <c r="J548" t="s">
        <v>45</v>
      </c>
      <c r="K548">
        <f>YEAR(D548)</f>
        <v>2024</v>
      </c>
      <c r="L548" t="str">
        <f>TEXT(D548,"mmm")</f>
        <v>Jul</v>
      </c>
      <c r="M548" t="str">
        <f>TEXT(D548,"ddd")</f>
        <v>Mon</v>
      </c>
      <c r="N548">
        <f>DATEDIF(D548, E548, "d")</f>
        <v>4</v>
      </c>
      <c r="O548">
        <f>ROUND(Table1[[#This Row],[Unit Price]]*Table1[[#This Row],[Quantity]]*VLOOKUP(C548,Table2[#All],2,FALSE),0)</f>
        <v>765</v>
      </c>
      <c r="P548">
        <f>ROUND(F548*G548,0)</f>
        <v>1020</v>
      </c>
      <c r="Q548">
        <f>ROUND((G548*F548)-O548,0)</f>
        <v>255</v>
      </c>
    </row>
    <row r="549" spans="1:17">
      <c r="A549" t="s">
        <v>512</v>
      </c>
      <c r="B549" t="s">
        <v>23</v>
      </c>
      <c r="C549" t="s">
        <v>69</v>
      </c>
      <c r="D549" s="1">
        <v>45878</v>
      </c>
      <c r="E549" s="1">
        <v>45882</v>
      </c>
      <c r="F549">
        <v>1</v>
      </c>
      <c r="G549">
        <v>269</v>
      </c>
      <c r="H549" t="s">
        <v>13</v>
      </c>
      <c r="I549" t="s">
        <v>549</v>
      </c>
      <c r="J549" t="s">
        <v>14</v>
      </c>
      <c r="K549">
        <f>YEAR(D549)</f>
        <v>2025</v>
      </c>
      <c r="L549" t="str">
        <f>TEXT(D549,"mmm")</f>
        <v>Aug</v>
      </c>
      <c r="M549" t="str">
        <f>TEXT(D549,"ddd")</f>
        <v>Sat</v>
      </c>
      <c r="N549">
        <f>DATEDIF(D549, E549, "d")</f>
        <v>4</v>
      </c>
      <c r="O549">
        <f>ROUND(Table1[[#This Row],[Unit Price]]*Table1[[#This Row],[Quantity]]*VLOOKUP(C549,Table2[#All],2,FALSE),0)</f>
        <v>148</v>
      </c>
      <c r="P549">
        <f>ROUND(F549*G549,0)</f>
        <v>269</v>
      </c>
      <c r="Q549">
        <f>ROUND((G549*F549)-O549,0)</f>
        <v>121</v>
      </c>
    </row>
    <row r="550" spans="1:17">
      <c r="A550" t="s">
        <v>482</v>
      </c>
      <c r="B550" t="s">
        <v>20</v>
      </c>
      <c r="C550" t="s">
        <v>53</v>
      </c>
      <c r="D550" s="1">
        <v>45928</v>
      </c>
      <c r="E550" s="1">
        <v>45934</v>
      </c>
      <c r="F550">
        <v>9</v>
      </c>
      <c r="G550">
        <v>733</v>
      </c>
      <c r="H550" t="s">
        <v>27</v>
      </c>
      <c r="I550" t="s">
        <v>549</v>
      </c>
      <c r="J550" t="s">
        <v>28</v>
      </c>
      <c r="K550">
        <f>YEAR(D550)</f>
        <v>2025</v>
      </c>
      <c r="L550" t="str">
        <f>TEXT(D550,"mmm")</f>
        <v>Sep</v>
      </c>
      <c r="M550" t="str">
        <f>TEXT(D550,"ddd")</f>
        <v>Sun</v>
      </c>
      <c r="N550">
        <f>DATEDIF(D550, E550, "d")</f>
        <v>6</v>
      </c>
      <c r="O550">
        <f>ROUND(Table1[[#This Row],[Unit Price]]*Table1[[#This Row],[Quantity]]*VLOOKUP(C550,Table2[#All],2,FALSE),0)</f>
        <v>4618</v>
      </c>
      <c r="P550">
        <f>ROUND(F550*G550,0)</f>
        <v>6597</v>
      </c>
      <c r="Q550">
        <f>ROUND((G550*F550)-O550,0)</f>
        <v>1979</v>
      </c>
    </row>
    <row r="551" spans="1:17">
      <c r="A551" t="s">
        <v>145</v>
      </c>
      <c r="B551" t="s">
        <v>11</v>
      </c>
      <c r="C551" t="s">
        <v>26</v>
      </c>
      <c r="D551" s="1">
        <v>45342</v>
      </c>
      <c r="E551" s="1">
        <v>45346</v>
      </c>
      <c r="F551">
        <v>2</v>
      </c>
      <c r="G551">
        <v>464</v>
      </c>
      <c r="H551" t="s">
        <v>13</v>
      </c>
      <c r="I551" t="s">
        <v>550</v>
      </c>
      <c r="J551" t="s">
        <v>18</v>
      </c>
      <c r="K551">
        <f>YEAR(D551)</f>
        <v>2024</v>
      </c>
      <c r="L551" t="str">
        <f>TEXT(D551,"mmm")</f>
        <v>Feb</v>
      </c>
      <c r="M551" t="str">
        <f>TEXT(D551,"ddd")</f>
        <v>Tue</v>
      </c>
      <c r="N551">
        <f>DATEDIF(D551, E551, "d")</f>
        <v>4</v>
      </c>
      <c r="O551">
        <f>ROUND(Table1[[#This Row],[Unit Price]]*Table1[[#This Row],[Quantity]]*VLOOKUP(C551,Table2[#All],2,FALSE),0)</f>
        <v>603</v>
      </c>
      <c r="P551">
        <f>ROUND(F551*G551,0)</f>
        <v>928</v>
      </c>
      <c r="Q551">
        <f>ROUND((G551*F551)-O551,0)</f>
        <v>325</v>
      </c>
    </row>
    <row r="552" spans="1:17">
      <c r="A552" t="s">
        <v>158</v>
      </c>
      <c r="B552" t="s">
        <v>16</v>
      </c>
      <c r="C552" t="s">
        <v>63</v>
      </c>
      <c r="D552" s="1">
        <v>45327</v>
      </c>
      <c r="E552" s="1">
        <v>45335</v>
      </c>
      <c r="F552">
        <v>9</v>
      </c>
      <c r="G552">
        <v>222</v>
      </c>
      <c r="H552" t="s">
        <v>13</v>
      </c>
      <c r="I552" t="s">
        <v>32</v>
      </c>
      <c r="J552" t="s">
        <v>18</v>
      </c>
      <c r="K552">
        <f>YEAR(D552)</f>
        <v>2024</v>
      </c>
      <c r="L552" t="str">
        <f>TEXT(D552,"mmm")</f>
        <v>Feb</v>
      </c>
      <c r="M552" t="str">
        <f>TEXT(D552,"ddd")</f>
        <v>Mon</v>
      </c>
      <c r="N552">
        <f>DATEDIF(D552, E552, "d")</f>
        <v>8</v>
      </c>
      <c r="O552">
        <f>ROUND(Table1[[#This Row],[Unit Price]]*Table1[[#This Row],[Quantity]]*VLOOKUP(C552,Table2[#All],2,FALSE),0)</f>
        <v>999</v>
      </c>
      <c r="P552">
        <f>ROUND(F552*G552,0)</f>
        <v>1998</v>
      </c>
      <c r="Q552">
        <f>ROUND((G552*F552)-O552,0)</f>
        <v>999</v>
      </c>
    </row>
    <row r="553" spans="1:17">
      <c r="A553" t="s">
        <v>227</v>
      </c>
      <c r="B553" t="s">
        <v>20</v>
      </c>
      <c r="C553" t="s">
        <v>53</v>
      </c>
      <c r="D553" s="1">
        <v>45600</v>
      </c>
      <c r="E553" s="1">
        <v>45612</v>
      </c>
      <c r="F553">
        <v>9</v>
      </c>
      <c r="G553">
        <v>421</v>
      </c>
      <c r="H553" t="s">
        <v>13</v>
      </c>
      <c r="I553" t="s">
        <v>32</v>
      </c>
      <c r="J553" t="s">
        <v>14</v>
      </c>
      <c r="K553">
        <f>YEAR(D553)</f>
        <v>2024</v>
      </c>
      <c r="L553" t="str">
        <f>TEXT(D553,"mmm")</f>
        <v>Nov</v>
      </c>
      <c r="M553" t="str">
        <f>TEXT(D553,"ddd")</f>
        <v>Mon</v>
      </c>
      <c r="N553">
        <f>DATEDIF(D553, E553, "d")</f>
        <v>12</v>
      </c>
      <c r="O553">
        <f>ROUND(Table1[[#This Row],[Unit Price]]*Table1[[#This Row],[Quantity]]*VLOOKUP(C553,Table2[#All],2,FALSE),0)</f>
        <v>2652</v>
      </c>
      <c r="P553">
        <f>ROUND(F553*G553,0)</f>
        <v>3789</v>
      </c>
      <c r="Q553">
        <f>ROUND((G553*F553)-O553,0)</f>
        <v>1137</v>
      </c>
    </row>
    <row r="554" spans="1:17">
      <c r="A554" t="s">
        <v>355</v>
      </c>
      <c r="B554" t="s">
        <v>16</v>
      </c>
      <c r="C554" t="s">
        <v>43</v>
      </c>
      <c r="D554" s="1">
        <v>45803</v>
      </c>
      <c r="E554" s="1">
        <v>45814</v>
      </c>
      <c r="F554">
        <v>7</v>
      </c>
      <c r="G554">
        <v>305</v>
      </c>
      <c r="H554" t="s">
        <v>27</v>
      </c>
      <c r="I554" t="s">
        <v>32</v>
      </c>
      <c r="J554" t="s">
        <v>14</v>
      </c>
      <c r="K554">
        <f>YEAR(D554)</f>
        <v>2025</v>
      </c>
      <c r="L554" t="str">
        <f>TEXT(D554,"mmm")</f>
        <v>May</v>
      </c>
      <c r="M554" t="str">
        <f>TEXT(D554,"ddd")</f>
        <v>Mon</v>
      </c>
      <c r="N554">
        <f>DATEDIF(D554, E554, "d")</f>
        <v>11</v>
      </c>
      <c r="O554">
        <f>ROUND(Table1[[#This Row],[Unit Price]]*Table1[[#This Row],[Quantity]]*VLOOKUP(C554,Table2[#All],2,FALSE),0)</f>
        <v>1281</v>
      </c>
      <c r="P554">
        <f>ROUND(F554*G554,0)</f>
        <v>2135</v>
      </c>
      <c r="Q554">
        <f>ROUND((G554*F554)-O554,0)</f>
        <v>854</v>
      </c>
    </row>
    <row r="555" spans="1:17">
      <c r="A555" t="s">
        <v>436</v>
      </c>
      <c r="B555" t="s">
        <v>16</v>
      </c>
      <c r="C555" t="s">
        <v>43</v>
      </c>
      <c r="D555" s="1">
        <v>46019</v>
      </c>
      <c r="E555" s="1">
        <v>46021</v>
      </c>
      <c r="F555">
        <v>9</v>
      </c>
      <c r="G555">
        <v>455</v>
      </c>
      <c r="H555" t="s">
        <v>13</v>
      </c>
      <c r="I555" t="s">
        <v>546</v>
      </c>
      <c r="J555" t="s">
        <v>28</v>
      </c>
      <c r="K555">
        <f>YEAR(D555)</f>
        <v>2025</v>
      </c>
      <c r="L555" t="str">
        <f>TEXT(D555,"mmm")</f>
        <v>Dec</v>
      </c>
      <c r="M555" t="str">
        <f>TEXT(D555,"ddd")</f>
        <v>Sun</v>
      </c>
      <c r="N555">
        <f>DATEDIF(D555, E555, "d")</f>
        <v>2</v>
      </c>
      <c r="O555">
        <f>ROUND(Table1[[#This Row],[Unit Price]]*Table1[[#This Row],[Quantity]]*VLOOKUP(C555,Table2[#All],2,FALSE),0)</f>
        <v>2457</v>
      </c>
      <c r="P555">
        <f>ROUND(F555*G555,0)</f>
        <v>4095</v>
      </c>
      <c r="Q555">
        <f>ROUND((G555*F555)-O555,0)</f>
        <v>1638</v>
      </c>
    </row>
    <row r="556" spans="1:17">
      <c r="A556" t="s">
        <v>439</v>
      </c>
      <c r="B556" t="s">
        <v>20</v>
      </c>
      <c r="C556" t="s">
        <v>21</v>
      </c>
      <c r="D556" s="1">
        <v>45895</v>
      </c>
      <c r="E556" s="1">
        <v>45896</v>
      </c>
      <c r="F556">
        <v>10</v>
      </c>
      <c r="G556">
        <v>572</v>
      </c>
      <c r="H556" t="s">
        <v>13</v>
      </c>
      <c r="I556" t="s">
        <v>32</v>
      </c>
      <c r="J556" t="s">
        <v>18</v>
      </c>
      <c r="K556">
        <f>YEAR(D556)</f>
        <v>2025</v>
      </c>
      <c r="L556" t="str">
        <f>TEXT(D556,"mmm")</f>
        <v>Aug</v>
      </c>
      <c r="M556" t="str">
        <f>TEXT(D556,"ddd")</f>
        <v>Tue</v>
      </c>
      <c r="N556">
        <f>DATEDIF(D556, E556, "d")</f>
        <v>1</v>
      </c>
      <c r="O556">
        <f>ROUND(Table1[[#This Row],[Unit Price]]*Table1[[#This Row],[Quantity]]*VLOOKUP(C556,Table2[#All],2,FALSE),0)</f>
        <v>4290</v>
      </c>
      <c r="P556">
        <f>ROUND(F556*G556,0)</f>
        <v>5720</v>
      </c>
      <c r="Q556">
        <f>ROUND((G556*F556)-O556,0)</f>
        <v>1430</v>
      </c>
    </row>
    <row r="557" spans="1:17">
      <c r="A557" t="s">
        <v>283</v>
      </c>
      <c r="B557" t="s">
        <v>11</v>
      </c>
      <c r="C557" t="s">
        <v>57</v>
      </c>
      <c r="D557" s="1">
        <v>45453</v>
      </c>
      <c r="E557" s="1">
        <v>45462</v>
      </c>
      <c r="F557">
        <v>1</v>
      </c>
      <c r="G557">
        <v>994</v>
      </c>
      <c r="H557" t="s">
        <v>13</v>
      </c>
      <c r="I557" t="s">
        <v>550</v>
      </c>
      <c r="J557" t="s">
        <v>14</v>
      </c>
      <c r="K557">
        <f>YEAR(D557)</f>
        <v>2024</v>
      </c>
      <c r="L557" t="str">
        <f>TEXT(D557,"mmm")</f>
        <v>Jun</v>
      </c>
      <c r="M557" t="str">
        <f>TEXT(D557,"ddd")</f>
        <v>Mon</v>
      </c>
      <c r="N557">
        <f>DATEDIF(D557, E557, "d")</f>
        <v>9</v>
      </c>
      <c r="O557">
        <f>ROUND(Table1[[#This Row],[Unit Price]]*Table1[[#This Row],[Quantity]]*VLOOKUP(C557,Table2[#All],2,FALSE),0)</f>
        <v>845</v>
      </c>
      <c r="P557">
        <f>ROUND(F557*G557,0)</f>
        <v>994</v>
      </c>
      <c r="Q557">
        <f>ROUND((G557*F557)-O557,0)</f>
        <v>149</v>
      </c>
    </row>
    <row r="558" spans="1:17">
      <c r="A558" t="s">
        <v>529</v>
      </c>
      <c r="B558" t="s">
        <v>30</v>
      </c>
      <c r="C558" t="s">
        <v>75</v>
      </c>
      <c r="D558" s="1">
        <v>45920</v>
      </c>
      <c r="E558" s="1">
        <v>45924</v>
      </c>
      <c r="F558">
        <v>8</v>
      </c>
      <c r="G558">
        <v>419</v>
      </c>
      <c r="H558" t="s">
        <v>27</v>
      </c>
      <c r="I558" t="s">
        <v>550</v>
      </c>
      <c r="J558" t="s">
        <v>45</v>
      </c>
      <c r="K558">
        <f>YEAR(D558)</f>
        <v>2025</v>
      </c>
      <c r="L558" t="str">
        <f>TEXT(D558,"mmm")</f>
        <v>Sep</v>
      </c>
      <c r="M558" t="str">
        <f>TEXT(D558,"ddd")</f>
        <v>Sat</v>
      </c>
      <c r="N558">
        <f>DATEDIF(D558, E558, "d")</f>
        <v>4</v>
      </c>
      <c r="O558">
        <f>ROUND(Table1[[#This Row],[Unit Price]]*Table1[[#This Row],[Quantity]]*VLOOKUP(C558,Table2[#All],2,FALSE),0)</f>
        <v>2514</v>
      </c>
      <c r="P558">
        <f>ROUND(F558*G558,0)</f>
        <v>3352</v>
      </c>
      <c r="Q558">
        <f>ROUND((G558*F558)-O558,0)</f>
        <v>838</v>
      </c>
    </row>
    <row r="559" spans="1:17">
      <c r="A559" t="s">
        <v>168</v>
      </c>
      <c r="B559" t="s">
        <v>23</v>
      </c>
      <c r="C559" t="s">
        <v>114</v>
      </c>
      <c r="D559" s="1">
        <v>45482</v>
      </c>
      <c r="E559" s="1">
        <v>45486</v>
      </c>
      <c r="F559">
        <v>3</v>
      </c>
      <c r="G559">
        <v>579</v>
      </c>
      <c r="H559" t="s">
        <v>27</v>
      </c>
      <c r="I559" t="s">
        <v>550</v>
      </c>
      <c r="J559" t="s">
        <v>18</v>
      </c>
      <c r="K559">
        <f>YEAR(D559)</f>
        <v>2024</v>
      </c>
      <c r="L559" t="str">
        <f>TEXT(D559,"mmm")</f>
        <v>Jul</v>
      </c>
      <c r="M559" t="str">
        <f>TEXT(D559,"ddd")</f>
        <v>Tue</v>
      </c>
      <c r="N559">
        <f>DATEDIF(D559, E559, "d")</f>
        <v>4</v>
      </c>
      <c r="O559">
        <f>ROUND(Table1[[#This Row],[Unit Price]]*Table1[[#This Row],[Quantity]]*VLOOKUP(C559,Table2[#All],2,FALSE),0)</f>
        <v>1042</v>
      </c>
      <c r="P559">
        <f>ROUND(F559*G559,0)</f>
        <v>1737</v>
      </c>
      <c r="Q559">
        <f>ROUND((G559*F559)-O559,0)</f>
        <v>695</v>
      </c>
    </row>
    <row r="560" spans="1:17">
      <c r="A560" t="s">
        <v>662</v>
      </c>
      <c r="B560" t="s">
        <v>23</v>
      </c>
      <c r="C560" t="s">
        <v>24</v>
      </c>
      <c r="D560" s="1">
        <v>45352</v>
      </c>
      <c r="E560" s="1">
        <v>45363</v>
      </c>
      <c r="F560">
        <v>2</v>
      </c>
      <c r="G560">
        <v>20</v>
      </c>
      <c r="H560" t="s">
        <v>27</v>
      </c>
      <c r="I560" t="s">
        <v>546</v>
      </c>
      <c r="J560" t="s">
        <v>45</v>
      </c>
      <c r="K560">
        <f>YEAR(D560)</f>
        <v>2024</v>
      </c>
      <c r="L560" t="str">
        <f>TEXT(D560,"mmm")</f>
        <v>Mar</v>
      </c>
      <c r="M560" t="str">
        <f>TEXT(D560,"ddd")</f>
        <v>Fri</v>
      </c>
      <c r="N560">
        <f>DATEDIF(D560, E560, "d")</f>
        <v>11</v>
      </c>
      <c r="O560">
        <f>ROUND(Table1[[#This Row],[Unit Price]]*Table1[[#This Row],[Quantity]]*VLOOKUP(C560,Table2[#All],2,FALSE),0)</f>
        <v>22</v>
      </c>
      <c r="P560">
        <f>ROUND(F560*G560,0)</f>
        <v>40</v>
      </c>
      <c r="Q560">
        <f>ROUND((G560*F560)-O560,0)</f>
        <v>18</v>
      </c>
    </row>
    <row r="561" spans="1:17">
      <c r="A561" t="s">
        <v>474</v>
      </c>
      <c r="B561" t="s">
        <v>20</v>
      </c>
      <c r="C561" t="s">
        <v>82</v>
      </c>
      <c r="D561" s="1">
        <v>46011</v>
      </c>
      <c r="E561" s="1">
        <v>46021</v>
      </c>
      <c r="F561">
        <v>10</v>
      </c>
      <c r="G561">
        <v>308</v>
      </c>
      <c r="H561" t="s">
        <v>27</v>
      </c>
      <c r="I561" t="s">
        <v>550</v>
      </c>
      <c r="J561" t="s">
        <v>45</v>
      </c>
      <c r="K561">
        <f>YEAR(D561)</f>
        <v>2025</v>
      </c>
      <c r="L561" t="str">
        <f>TEXT(D561,"mmm")</f>
        <v>Dec</v>
      </c>
      <c r="M561" t="str">
        <f>TEXT(D561,"ddd")</f>
        <v>Sat</v>
      </c>
      <c r="N561">
        <f>DATEDIF(D561, E561, "d")</f>
        <v>10</v>
      </c>
      <c r="O561">
        <f>ROUND(Table1[[#This Row],[Unit Price]]*Table1[[#This Row],[Quantity]]*VLOOKUP(C561,Table2[#All],2,FALSE),0)</f>
        <v>2464</v>
      </c>
      <c r="P561">
        <f>ROUND(F561*G561,0)</f>
        <v>3080</v>
      </c>
      <c r="Q561">
        <f>ROUND((G561*F561)-O561,0)</f>
        <v>616</v>
      </c>
    </row>
    <row r="562" spans="1:17">
      <c r="A562" t="s">
        <v>68</v>
      </c>
      <c r="B562" t="s">
        <v>23</v>
      </c>
      <c r="C562" t="s">
        <v>69</v>
      </c>
      <c r="D562" s="1">
        <v>45630</v>
      </c>
      <c r="E562" s="1">
        <v>45637</v>
      </c>
      <c r="F562">
        <v>8</v>
      </c>
      <c r="G562">
        <v>168</v>
      </c>
      <c r="H562" t="s">
        <v>13</v>
      </c>
      <c r="I562" t="s">
        <v>550</v>
      </c>
      <c r="J562" t="s">
        <v>18</v>
      </c>
      <c r="K562">
        <f>YEAR(D562)</f>
        <v>2024</v>
      </c>
      <c r="L562" t="str">
        <f>TEXT(D562,"mmm")</f>
        <v>Dec</v>
      </c>
      <c r="M562" t="str">
        <f>TEXT(D562,"ddd")</f>
        <v>Wed</v>
      </c>
      <c r="N562">
        <f>DATEDIF(D562, E562, "d")</f>
        <v>7</v>
      </c>
      <c r="O562">
        <f>ROUND(Table1[[#This Row],[Unit Price]]*Table1[[#This Row],[Quantity]]*VLOOKUP(C562,Table2[#All],2,FALSE),0)</f>
        <v>739</v>
      </c>
      <c r="P562">
        <f>ROUND(F562*G562,0)</f>
        <v>1344</v>
      </c>
      <c r="Q562">
        <f>ROUND((G562*F562)-O562,0)</f>
        <v>605</v>
      </c>
    </row>
    <row r="563" spans="1:17">
      <c r="A563" t="s">
        <v>68</v>
      </c>
      <c r="B563" t="s">
        <v>16</v>
      </c>
      <c r="C563" t="s">
        <v>43</v>
      </c>
      <c r="D563" s="1">
        <v>45682</v>
      </c>
      <c r="E563" s="1">
        <v>45683</v>
      </c>
      <c r="F563">
        <v>7</v>
      </c>
      <c r="G563">
        <v>785</v>
      </c>
      <c r="H563" t="s">
        <v>13</v>
      </c>
      <c r="I563" t="s">
        <v>546</v>
      </c>
      <c r="J563" t="s">
        <v>18</v>
      </c>
      <c r="K563">
        <f>YEAR(D563)</f>
        <v>2025</v>
      </c>
      <c r="L563" t="str">
        <f>TEXT(D563,"mmm")</f>
        <v>Jan</v>
      </c>
      <c r="M563" t="str">
        <f>TEXT(D563,"ddd")</f>
        <v>Sat</v>
      </c>
      <c r="N563">
        <f>DATEDIF(D563, E563, "d")</f>
        <v>1</v>
      </c>
      <c r="O563">
        <f>ROUND(Table1[[#This Row],[Unit Price]]*Table1[[#This Row],[Quantity]]*VLOOKUP(C563,Table2[#All],2,FALSE),0)</f>
        <v>3297</v>
      </c>
      <c r="P563">
        <f>ROUND(F563*G563,0)</f>
        <v>5495</v>
      </c>
      <c r="Q563">
        <f>ROUND((G563*F563)-O563,0)</f>
        <v>2198</v>
      </c>
    </row>
    <row r="564" spans="1:17">
      <c r="A564" t="s">
        <v>352</v>
      </c>
      <c r="B564" t="s">
        <v>23</v>
      </c>
      <c r="C564" t="s">
        <v>24</v>
      </c>
      <c r="D564" s="1">
        <v>45690</v>
      </c>
      <c r="E564" s="1">
        <v>45696</v>
      </c>
      <c r="F564">
        <v>2</v>
      </c>
      <c r="G564">
        <v>947</v>
      </c>
      <c r="H564" t="s">
        <v>13</v>
      </c>
      <c r="I564" t="s">
        <v>549</v>
      </c>
      <c r="J564" t="s">
        <v>14</v>
      </c>
      <c r="K564">
        <f>YEAR(D564)</f>
        <v>2025</v>
      </c>
      <c r="L564" t="str">
        <f>TEXT(D564,"mmm")</f>
        <v>Feb</v>
      </c>
      <c r="M564" t="str">
        <f>TEXT(D564,"ddd")</f>
        <v>Sun</v>
      </c>
      <c r="N564">
        <f>DATEDIF(D564, E564, "d")</f>
        <v>6</v>
      </c>
      <c r="O564">
        <f>ROUND(Table1[[#This Row],[Unit Price]]*Table1[[#This Row],[Quantity]]*VLOOKUP(C564,Table2[#All],2,FALSE),0)</f>
        <v>1042</v>
      </c>
      <c r="P564">
        <f>ROUND(F564*G564,0)</f>
        <v>1894</v>
      </c>
      <c r="Q564">
        <f>ROUND((G564*F564)-O564,0)</f>
        <v>852</v>
      </c>
    </row>
    <row r="565" spans="1:17">
      <c r="A565" t="s">
        <v>144</v>
      </c>
      <c r="B565" t="s">
        <v>11</v>
      </c>
      <c r="C565" t="s">
        <v>35</v>
      </c>
      <c r="D565" s="1">
        <v>45327</v>
      </c>
      <c r="E565" s="1">
        <v>45331</v>
      </c>
      <c r="F565">
        <v>4</v>
      </c>
      <c r="G565">
        <v>656</v>
      </c>
      <c r="H565" t="s">
        <v>13</v>
      </c>
      <c r="I565" t="s">
        <v>32</v>
      </c>
      <c r="J565" t="s">
        <v>28</v>
      </c>
      <c r="K565">
        <f>YEAR(D565)</f>
        <v>2024</v>
      </c>
      <c r="L565" t="str">
        <f>TEXT(D565,"mmm")</f>
        <v>Feb</v>
      </c>
      <c r="M565" t="str">
        <f>TEXT(D565,"ddd")</f>
        <v>Mon</v>
      </c>
      <c r="N565">
        <f>DATEDIF(D565, E565, "d")</f>
        <v>4</v>
      </c>
      <c r="O565">
        <f>ROUND(Table1[[#This Row],[Unit Price]]*Table1[[#This Row],[Quantity]]*VLOOKUP(C565,Table2[#All],2,FALSE),0)</f>
        <v>2099</v>
      </c>
      <c r="P565">
        <f>ROUND(F565*G565,0)</f>
        <v>2624</v>
      </c>
      <c r="Q565">
        <f>ROUND((G565*F565)-O565,0)</f>
        <v>525</v>
      </c>
    </row>
    <row r="566" spans="1:17">
      <c r="A566" t="s">
        <v>312</v>
      </c>
      <c r="B566" t="s">
        <v>30</v>
      </c>
      <c r="C566" t="s">
        <v>78</v>
      </c>
      <c r="D566" s="1">
        <v>45585</v>
      </c>
      <c r="E566" s="1">
        <v>45596</v>
      </c>
      <c r="F566">
        <v>5</v>
      </c>
      <c r="G566">
        <v>985</v>
      </c>
      <c r="H566" t="s">
        <v>27</v>
      </c>
      <c r="I566" t="s">
        <v>548</v>
      </c>
      <c r="J566" t="s">
        <v>45</v>
      </c>
      <c r="K566">
        <f>YEAR(D566)</f>
        <v>2024</v>
      </c>
      <c r="L566" t="str">
        <f>TEXT(D566,"mmm")</f>
        <v>Oct</v>
      </c>
      <c r="M566" t="str">
        <f>TEXT(D566,"ddd")</f>
        <v>Sun</v>
      </c>
      <c r="N566">
        <f>DATEDIF(D566, E566, "d")</f>
        <v>11</v>
      </c>
      <c r="O566">
        <f>ROUND(Table1[[#This Row],[Unit Price]]*Table1[[#This Row],[Quantity]]*VLOOKUP(C566,Table2[#All],2,FALSE),0)</f>
        <v>3201</v>
      </c>
      <c r="P566">
        <f>ROUND(F566*G566,0)</f>
        <v>4925</v>
      </c>
      <c r="Q566">
        <f>ROUND((G566*F566)-O566,0)</f>
        <v>1724</v>
      </c>
    </row>
    <row r="567" spans="1:17">
      <c r="A567" t="s">
        <v>414</v>
      </c>
      <c r="B567" t="s">
        <v>11</v>
      </c>
      <c r="C567" t="s">
        <v>26</v>
      </c>
      <c r="D567" s="1">
        <v>45895</v>
      </c>
      <c r="E567" s="1">
        <v>45898</v>
      </c>
      <c r="F567">
        <v>2</v>
      </c>
      <c r="G567">
        <v>968</v>
      </c>
      <c r="H567" t="s">
        <v>27</v>
      </c>
      <c r="I567" t="s">
        <v>550</v>
      </c>
      <c r="J567" t="s">
        <v>45</v>
      </c>
      <c r="K567">
        <f>YEAR(D567)</f>
        <v>2025</v>
      </c>
      <c r="L567" t="str">
        <f>TEXT(D567,"mmm")</f>
        <v>Aug</v>
      </c>
      <c r="M567" t="str">
        <f>TEXT(D567,"ddd")</f>
        <v>Tue</v>
      </c>
      <c r="N567">
        <f>DATEDIF(D567, E567, "d")</f>
        <v>3</v>
      </c>
      <c r="O567">
        <f>ROUND(Table1[[#This Row],[Unit Price]]*Table1[[#This Row],[Quantity]]*VLOOKUP(C567,Table2[#All],2,FALSE),0)</f>
        <v>1258</v>
      </c>
      <c r="P567">
        <f>ROUND(F567*G567,0)</f>
        <v>1936</v>
      </c>
      <c r="Q567">
        <f>ROUND((G567*F567)-O567,0)</f>
        <v>678</v>
      </c>
    </row>
    <row r="568" spans="1:17">
      <c r="A568" t="s">
        <v>151</v>
      </c>
      <c r="B568" t="s">
        <v>30</v>
      </c>
      <c r="C568" t="s">
        <v>75</v>
      </c>
      <c r="D568" s="1">
        <v>45531</v>
      </c>
      <c r="E568" s="1">
        <v>45538</v>
      </c>
      <c r="F568">
        <v>2</v>
      </c>
      <c r="G568">
        <v>154</v>
      </c>
      <c r="H568" t="s">
        <v>27</v>
      </c>
      <c r="I568" t="s">
        <v>548</v>
      </c>
      <c r="J568" t="s">
        <v>28</v>
      </c>
      <c r="K568">
        <f>YEAR(D568)</f>
        <v>2024</v>
      </c>
      <c r="L568" t="str">
        <f>TEXT(D568,"mmm")</f>
        <v>Aug</v>
      </c>
      <c r="M568" t="str">
        <f>TEXT(D568,"ddd")</f>
        <v>Tue</v>
      </c>
      <c r="N568">
        <f>DATEDIF(D568, E568, "d")</f>
        <v>7</v>
      </c>
      <c r="O568">
        <f>ROUND(Table1[[#This Row],[Unit Price]]*Table1[[#This Row],[Quantity]]*VLOOKUP(C568,Table2[#All],2,FALSE),0)</f>
        <v>231</v>
      </c>
      <c r="P568">
        <f>ROUND(F568*G568,0)</f>
        <v>308</v>
      </c>
      <c r="Q568">
        <f>ROUND((G568*F568)-O568,0)</f>
        <v>77</v>
      </c>
    </row>
    <row r="569" spans="1:17">
      <c r="A569" t="s">
        <v>245</v>
      </c>
      <c r="B569" t="s">
        <v>20</v>
      </c>
      <c r="C569" t="s">
        <v>39</v>
      </c>
      <c r="D569" s="1">
        <v>45464</v>
      </c>
      <c r="E569" s="1">
        <v>45468</v>
      </c>
      <c r="F569">
        <v>5</v>
      </c>
      <c r="G569">
        <v>591</v>
      </c>
      <c r="H569" t="s">
        <v>13</v>
      </c>
      <c r="I569" t="s">
        <v>32</v>
      </c>
      <c r="J569" t="s">
        <v>14</v>
      </c>
      <c r="K569">
        <f>YEAR(D569)</f>
        <v>2024</v>
      </c>
      <c r="L569" t="str">
        <f>TEXT(D569,"mmm")</f>
        <v>Jun</v>
      </c>
      <c r="M569" t="str">
        <f>TEXT(D569,"ddd")</f>
        <v>Fri</v>
      </c>
      <c r="N569">
        <f>DATEDIF(D569, E569, "d")</f>
        <v>4</v>
      </c>
      <c r="O569">
        <f>ROUND(Table1[[#This Row],[Unit Price]]*Table1[[#This Row],[Quantity]]*VLOOKUP(C569,Table2[#All],2,FALSE),0)</f>
        <v>1921</v>
      </c>
      <c r="P569">
        <f>ROUND(F569*G569,0)</f>
        <v>2955</v>
      </c>
      <c r="Q569">
        <f>ROUND((G569*F569)-O569,0)</f>
        <v>1034</v>
      </c>
    </row>
    <row r="570" spans="1:17">
      <c r="A570" t="s">
        <v>489</v>
      </c>
      <c r="B570" t="s">
        <v>20</v>
      </c>
      <c r="C570" t="s">
        <v>21</v>
      </c>
      <c r="D570" s="1">
        <v>45758</v>
      </c>
      <c r="E570" s="1">
        <v>45761</v>
      </c>
      <c r="F570">
        <v>8</v>
      </c>
      <c r="G570">
        <v>258</v>
      </c>
      <c r="H570" t="s">
        <v>13</v>
      </c>
      <c r="I570" t="s">
        <v>546</v>
      </c>
      <c r="J570" t="s">
        <v>14</v>
      </c>
      <c r="K570">
        <f>YEAR(D570)</f>
        <v>2025</v>
      </c>
      <c r="L570" t="str">
        <f>TEXT(D570,"mmm")</f>
        <v>Apr</v>
      </c>
      <c r="M570" t="str">
        <f>TEXT(D570,"ddd")</f>
        <v>Fri</v>
      </c>
      <c r="N570">
        <f>DATEDIF(D570, E570, "d")</f>
        <v>3</v>
      </c>
      <c r="O570">
        <f>ROUND(Table1[[#This Row],[Unit Price]]*Table1[[#This Row],[Quantity]]*VLOOKUP(C570,Table2[#All],2,FALSE),0)</f>
        <v>1548</v>
      </c>
      <c r="P570">
        <f>ROUND(F570*G570,0)</f>
        <v>2064</v>
      </c>
      <c r="Q570">
        <f>ROUND((G570*F570)-O570,0)</f>
        <v>516</v>
      </c>
    </row>
    <row r="571" spans="1:17">
      <c r="A571" t="s">
        <v>453</v>
      </c>
      <c r="B571" t="s">
        <v>30</v>
      </c>
      <c r="C571" t="s">
        <v>31</v>
      </c>
      <c r="D571" s="1">
        <v>45709</v>
      </c>
      <c r="E571" s="1">
        <v>45719</v>
      </c>
      <c r="F571">
        <v>3</v>
      </c>
      <c r="G571">
        <v>97</v>
      </c>
      <c r="H571" t="s">
        <v>13</v>
      </c>
      <c r="I571" t="s">
        <v>549</v>
      </c>
      <c r="J571" t="s">
        <v>14</v>
      </c>
      <c r="K571">
        <f>YEAR(D571)</f>
        <v>2025</v>
      </c>
      <c r="L571" t="str">
        <f>TEXT(D571,"mmm")</f>
        <v>Feb</v>
      </c>
      <c r="M571" t="str">
        <f>TEXT(D571,"ddd")</f>
        <v>Fri</v>
      </c>
      <c r="N571">
        <f>DATEDIF(D571, E571, "d")</f>
        <v>10</v>
      </c>
      <c r="O571">
        <f>ROUND(Table1[[#This Row],[Unit Price]]*Table1[[#This Row],[Quantity]]*VLOOKUP(C571,Table2[#All],2,FALSE),0)</f>
        <v>218</v>
      </c>
      <c r="P571">
        <f>ROUND(F571*G571,0)</f>
        <v>291</v>
      </c>
      <c r="Q571">
        <f>ROUND((G571*F571)-O571,0)</f>
        <v>73</v>
      </c>
    </row>
  </sheetData>
  <conditionalFormatting sqref="A1:J571">
    <cfRule type="containsBlanks" dxfId="3" priority="1">
      <formula>LEN(TRIM(A1))=0</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02F9-F452-4AE9-9966-49D30FFF3B96}">
  <sheetPr codeName="Sheet4"/>
  <dimension ref="A1:B26"/>
  <sheetViews>
    <sheetView workbookViewId="0"/>
  </sheetViews>
  <sheetFormatPr defaultRowHeight="14.4"/>
  <cols>
    <col min="1" max="1" width="15.44140625" bestFit="1" customWidth="1"/>
    <col min="2" max="2" width="16.44140625" customWidth="1"/>
  </cols>
  <sheetData>
    <row r="1" spans="1:2">
      <c r="A1" t="s">
        <v>2</v>
      </c>
      <c r="B1" t="s">
        <v>552</v>
      </c>
    </row>
    <row r="2" spans="1:2">
      <c r="A2" t="s">
        <v>12</v>
      </c>
      <c r="B2">
        <v>0.75</v>
      </c>
    </row>
    <row r="3" spans="1:2">
      <c r="A3" t="s">
        <v>26</v>
      </c>
      <c r="B3">
        <v>0.65</v>
      </c>
    </row>
    <row r="4" spans="1:2">
      <c r="A4" t="s">
        <v>35</v>
      </c>
      <c r="B4">
        <v>0.8</v>
      </c>
    </row>
    <row r="5" spans="1:2">
      <c r="A5" t="s">
        <v>57</v>
      </c>
      <c r="B5">
        <v>0.85</v>
      </c>
    </row>
    <row r="6" spans="1:2">
      <c r="A6" t="s">
        <v>95</v>
      </c>
      <c r="B6">
        <v>0.7</v>
      </c>
    </row>
    <row r="7" spans="1:2">
      <c r="A7" t="s">
        <v>17</v>
      </c>
      <c r="B7">
        <v>0.5</v>
      </c>
    </row>
    <row r="8" spans="1:2">
      <c r="A8" t="s">
        <v>55</v>
      </c>
      <c r="B8">
        <v>0.55000000000000004</v>
      </c>
    </row>
    <row r="9" spans="1:2">
      <c r="A9" t="s">
        <v>43</v>
      </c>
      <c r="B9">
        <v>0.6</v>
      </c>
    </row>
    <row r="10" spans="1:2">
      <c r="A10" t="s">
        <v>59</v>
      </c>
      <c r="B10">
        <v>0.65</v>
      </c>
    </row>
    <row r="11" spans="1:2">
      <c r="A11" t="s">
        <v>63</v>
      </c>
      <c r="B11">
        <v>0.5</v>
      </c>
    </row>
    <row r="12" spans="1:2">
      <c r="A12" t="s">
        <v>51</v>
      </c>
      <c r="B12">
        <v>0.7</v>
      </c>
    </row>
    <row r="13" spans="1:2">
      <c r="A13" t="s">
        <v>21</v>
      </c>
      <c r="B13">
        <v>0.75</v>
      </c>
    </row>
    <row r="14" spans="1:2">
      <c r="A14" t="s">
        <v>82</v>
      </c>
      <c r="B14">
        <v>0.8</v>
      </c>
    </row>
    <row r="15" spans="1:2">
      <c r="A15" t="s">
        <v>53</v>
      </c>
      <c r="B15">
        <v>0.7</v>
      </c>
    </row>
    <row r="16" spans="1:2">
      <c r="A16" t="s">
        <v>39</v>
      </c>
      <c r="B16">
        <v>0.65</v>
      </c>
    </row>
    <row r="17" spans="1:2">
      <c r="A17" t="s">
        <v>24</v>
      </c>
      <c r="B17">
        <v>0.55000000000000004</v>
      </c>
    </row>
    <row r="18" spans="1:2">
      <c r="A18" t="s">
        <v>37</v>
      </c>
      <c r="B18">
        <v>0.5</v>
      </c>
    </row>
    <row r="19" spans="1:2">
      <c r="A19" t="s">
        <v>99</v>
      </c>
      <c r="B19">
        <v>0.6</v>
      </c>
    </row>
    <row r="20" spans="1:2">
      <c r="A20" t="s">
        <v>69</v>
      </c>
      <c r="B20">
        <v>0.55000000000000004</v>
      </c>
    </row>
    <row r="21" spans="1:2">
      <c r="A21" t="s">
        <v>114</v>
      </c>
      <c r="B21">
        <v>0.6</v>
      </c>
    </row>
    <row r="22" spans="1:2">
      <c r="A22" t="s">
        <v>31</v>
      </c>
      <c r="B22">
        <v>0.75</v>
      </c>
    </row>
    <row r="23" spans="1:2">
      <c r="A23" t="s">
        <v>41</v>
      </c>
      <c r="B23">
        <v>0.65</v>
      </c>
    </row>
    <row r="24" spans="1:2">
      <c r="A24" t="s">
        <v>49</v>
      </c>
      <c r="B24">
        <v>0.7</v>
      </c>
    </row>
    <row r="25" spans="1:2">
      <c r="A25" t="s">
        <v>75</v>
      </c>
      <c r="B25">
        <v>0.75</v>
      </c>
    </row>
    <row r="26" spans="1:2">
      <c r="A26" t="s">
        <v>78</v>
      </c>
      <c r="B26">
        <v>0.65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Form</vt:lpstr>
      <vt:lpstr>Analysis</vt:lpstr>
      <vt:lpstr>KPI</vt:lpstr>
      <vt:lpstr>Retail Store Sales</vt:lpstr>
      <vt:lpstr>Cost Per Unit</vt:lpstr>
      <vt:lpstr>count</vt:lpstr>
      <vt:lpstr>percent</vt:lpstr>
      <vt:lpstr>profit</vt:lpstr>
      <vt:lpstr>sale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Sahil Sahu</cp:lastModifiedBy>
  <dcterms:created xsi:type="dcterms:W3CDTF">2025-01-30T07:46:36Z</dcterms:created>
  <dcterms:modified xsi:type="dcterms:W3CDTF">2025-04-09T11:27:35Z</dcterms:modified>
</cp:coreProperties>
</file>